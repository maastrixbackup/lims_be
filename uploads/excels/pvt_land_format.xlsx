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67570E-8E4E-48D1-8034-8C1FE9C025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1" r:id="rId1"/>
    <sheet name="Sheet1" sheetId="2" r:id="rId2"/>
  </sheets>
  <definedNames>
    <definedName name="_xlnm._FilterDatabase" localSheetId="0" hidden="1">Sheet2!$A$1:$CH$24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V4" i="1" s="1"/>
  <c r="S5" i="1"/>
  <c r="V5" i="1" s="1"/>
  <c r="S6" i="1"/>
  <c r="V6" i="1" s="1"/>
  <c r="S7" i="1"/>
  <c r="V7" i="1" s="1"/>
  <c r="S8" i="1"/>
  <c r="V8" i="1" s="1"/>
  <c r="S9" i="1"/>
  <c r="V9" i="1" s="1"/>
  <c r="AF9" i="1" s="1"/>
  <c r="S10" i="1"/>
  <c r="V10" i="1" s="1"/>
  <c r="S11" i="1"/>
  <c r="V11" i="1" s="1"/>
  <c r="W11" i="1" s="1"/>
  <c r="AE11" i="1" s="1"/>
  <c r="AD11" i="1" s="1"/>
  <c r="S12" i="1"/>
  <c r="V12" i="1" s="1"/>
  <c r="S13" i="1"/>
  <c r="V13" i="1" s="1"/>
  <c r="S14" i="1"/>
  <c r="S15" i="1"/>
  <c r="V15" i="1" s="1"/>
  <c r="S16" i="1"/>
  <c r="V16" i="1" s="1"/>
  <c r="S17" i="1"/>
  <c r="V17" i="1" s="1"/>
  <c r="W17" i="1" s="1"/>
  <c r="AE17" i="1" s="1"/>
  <c r="AD17" i="1" s="1"/>
  <c r="S18" i="1"/>
  <c r="V18" i="1" s="1"/>
  <c r="S19" i="1"/>
  <c r="V19" i="1" s="1"/>
  <c r="AF19" i="1" s="1"/>
  <c r="S20" i="1"/>
  <c r="V20" i="1" s="1"/>
  <c r="W20" i="1" s="1"/>
  <c r="S21" i="1"/>
  <c r="V21" i="1" s="1"/>
  <c r="S22" i="1"/>
  <c r="V22" i="1" s="1"/>
  <c r="AF22" i="1" s="1"/>
  <c r="S23" i="1"/>
  <c r="V23" i="1" s="1"/>
  <c r="S2" i="1"/>
  <c r="V2" i="1" s="1"/>
  <c r="V3" i="1"/>
  <c r="W3" i="1" s="1"/>
  <c r="V14" i="1"/>
  <c r="W14" i="1" s="1"/>
  <c r="Q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3" i="1"/>
  <c r="Q2" i="1"/>
  <c r="S24" i="1"/>
  <c r="W7" i="1" l="1"/>
  <c r="AE7" i="1" s="1"/>
  <c r="AD7" i="1" s="1"/>
  <c r="AF7" i="1"/>
  <c r="W16" i="1"/>
  <c r="AE16" i="1" s="1"/>
  <c r="AD16" i="1" s="1"/>
  <c r="AF16" i="1"/>
  <c r="AF10" i="1"/>
  <c r="W10" i="1"/>
  <c r="AE10" i="1" s="1"/>
  <c r="AD10" i="1" s="1"/>
  <c r="AF5" i="1"/>
  <c r="W5" i="1"/>
  <c r="AE5" i="1" s="1"/>
  <c r="AD5" i="1" s="1"/>
  <c r="AG5" i="1" s="1"/>
  <c r="W22" i="1"/>
  <c r="AE22" i="1" s="1"/>
  <c r="AD22" i="1" s="1"/>
  <c r="AG22" i="1" s="1"/>
  <c r="W9" i="1"/>
  <c r="AE9" i="1" s="1"/>
  <c r="AD9" i="1" s="1"/>
  <c r="AG9" i="1" s="1"/>
  <c r="W13" i="1"/>
  <c r="AF13" i="1"/>
  <c r="AF4" i="1"/>
  <c r="W4" i="1"/>
  <c r="W21" i="1"/>
  <c r="AF21" i="1"/>
  <c r="W18" i="1"/>
  <c r="AF18" i="1"/>
  <c r="AF12" i="1"/>
  <c r="W12" i="1"/>
  <c r="AF23" i="1"/>
  <c r="W23" i="1"/>
  <c r="AF15" i="1"/>
  <c r="W15" i="1"/>
  <c r="AF8" i="1"/>
  <c r="W8" i="1"/>
  <c r="AF6" i="1"/>
  <c r="W6" i="1"/>
  <c r="AE14" i="1"/>
  <c r="AD14" i="1" s="1"/>
  <c r="W19" i="1"/>
  <c r="AF14" i="1"/>
  <c r="AE20" i="1"/>
  <c r="AD20" i="1" s="1"/>
  <c r="AE3" i="1"/>
  <c r="AD3" i="1" s="1"/>
  <c r="AF20" i="1"/>
  <c r="AF3" i="1"/>
  <c r="AF17" i="1"/>
  <c r="AG17" i="1" s="1"/>
  <c r="AF11" i="1"/>
  <c r="AG11" i="1" s="1"/>
  <c r="W2" i="1"/>
  <c r="AF2" i="1"/>
  <c r="AG10" i="1" l="1"/>
  <c r="AG20" i="1"/>
  <c r="AG16" i="1"/>
  <c r="AG3" i="1"/>
  <c r="AG14" i="1"/>
  <c r="AG7" i="1"/>
  <c r="AE19" i="1"/>
  <c r="AD19" i="1" s="1"/>
  <c r="AG19" i="1" s="1"/>
  <c r="AE15" i="1"/>
  <c r="AD15" i="1" s="1"/>
  <c r="AG15" i="1" s="1"/>
  <c r="AE12" i="1"/>
  <c r="AD12" i="1" s="1"/>
  <c r="AG12" i="1" s="1"/>
  <c r="AE13" i="1"/>
  <c r="AD13" i="1" s="1"/>
  <c r="AG13" i="1" s="1"/>
  <c r="AE8" i="1"/>
  <c r="AD8" i="1" s="1"/>
  <c r="AG8" i="1" s="1"/>
  <c r="AE23" i="1"/>
  <c r="AD23" i="1" s="1"/>
  <c r="AG23" i="1" s="1"/>
  <c r="AE21" i="1"/>
  <c r="AD21" i="1" s="1"/>
  <c r="AG21" i="1" s="1"/>
  <c r="AE18" i="1"/>
  <c r="AD18" i="1" s="1"/>
  <c r="AG18" i="1" s="1"/>
  <c r="AE6" i="1"/>
  <c r="AD6" i="1" s="1"/>
  <c r="AG6" i="1" s="1"/>
  <c r="AE4" i="1"/>
  <c r="AD4" i="1" s="1"/>
  <c r="AG4" i="1" s="1"/>
  <c r="AE2" i="1"/>
  <c r="AD2" i="1" s="1"/>
  <c r="AG2" i="1" s="1"/>
</calcChain>
</file>

<file path=xl/sharedStrings.xml><?xml version="1.0" encoding="utf-8"?>
<sst xmlns="http://schemas.openxmlformats.org/spreadsheetml/2006/main" count="477" uniqueCount="179">
  <si>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</si>
  <si>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</si>
  <si>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</si>
  <si>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</si>
  <si>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</si>
  <si>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</si>
  <si>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</si>
  <si>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</si>
  <si>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</si>
  <si>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</si>
  <si>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</si>
  <si>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</si>
  <si>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</si>
  <si>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</si>
  <si>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</si>
  <si>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</si>
  <si>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</si>
  <si>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</si>
  <si>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</si>
  <si>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</si>
  <si>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</si>
  <si>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</si>
  <si>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</si>
  <si>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</si>
  <si>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</si>
  <si>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</si>
  <si>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</si>
  <si>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</si>
  <si>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</si>
  <si>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</si>
  <si>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</si>
  <si>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</si>
  <si>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</si>
  <si>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</si>
  <si>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</si>
  <si>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</si>
  <si>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</si>
  <si>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</si>
  <si>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</si>
  <si>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</si>
  <si>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</si>
  <si>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</si>
  <si>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</si>
  <si>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</si>
  <si>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</si>
  <si>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</si>
  <si>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</si>
  <si>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</si>
  <si>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</si>
  <si>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</si>
  <si>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</si>
  <si>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</si>
  <si>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</si>
  <si>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</si>
  <si>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</si>
  <si>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</si>
  <si>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</si>
  <si>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</si>
  <si>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</si>
  <si>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</si>
  <si>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</si>
  <si>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</si>
  <si>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</si>
  <si>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</si>
  <si>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</si>
  <si>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</si>
  <si>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</si>
  <si>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</si>
  <si>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</si>
  <si>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</si>
  <si>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</si>
  <si>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</si>
  <si>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</si>
  <si>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</si>
  <si>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</si>
  <si>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</si>
  <si>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</si>
  <si>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</si>
  <si>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</si>
  <si>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</si>
  <si>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</si>
  <si>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</si>
  <si>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</si>
  <si>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</si>
  <si>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</si>
  <si>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</si>
  <si>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Gharabari</t>
  </si>
  <si>
    <t>GMDC/HDG/0319</t>
  </si>
  <si>
    <t>GMDC/HDG/0333</t>
  </si>
  <si>
    <t>Taila</t>
  </si>
  <si>
    <t>SAJS III</t>
  </si>
  <si>
    <t>SAJS I</t>
  </si>
  <si>
    <t>SAJS II</t>
  </si>
  <si>
    <t>V</t>
  </si>
  <si>
    <t>III</t>
  </si>
  <si>
    <t>II</t>
  </si>
  <si>
    <t>chhendipada</t>
  </si>
  <si>
    <t>State Bank of India</t>
  </si>
  <si>
    <t>Chasa</t>
  </si>
  <si>
    <t>no</t>
  </si>
  <si>
    <t>E-LHC/2024/226926</t>
  </si>
  <si>
    <t>PAF</t>
  </si>
  <si>
    <t>Land acquisition</t>
  </si>
  <si>
    <t>active</t>
  </si>
  <si>
    <t>yes</t>
  </si>
  <si>
    <t>DARPG/E/2026/0001234</t>
  </si>
  <si>
    <t>land acquisition</t>
  </si>
  <si>
    <t>PDF</t>
  </si>
  <si>
    <t>name mismatch</t>
  </si>
  <si>
    <t>court action &amp; orders</t>
  </si>
  <si>
    <t>partition suit</t>
  </si>
  <si>
    <t>pending</t>
  </si>
  <si>
    <t>legal action</t>
  </si>
  <si>
    <t>legal</t>
  </si>
  <si>
    <t>forward to court</t>
  </si>
  <si>
    <t>parental address recognition</t>
  </si>
  <si>
    <t>N</t>
  </si>
  <si>
    <t>Y</t>
  </si>
  <si>
    <t>GMDC/MCK/0044</t>
  </si>
  <si>
    <t>GMDC/MCK/0099</t>
  </si>
  <si>
    <t>GMDC/MCK/0059</t>
  </si>
  <si>
    <t>GMDC/MCK/0095</t>
  </si>
  <si>
    <t>GMDC/MCK/0094</t>
  </si>
  <si>
    <t>GMDC/MCK/0097</t>
  </si>
  <si>
    <t>GMDC/MCK/0093</t>
  </si>
  <si>
    <t>Prafulla Chandra Gadanayak</t>
  </si>
  <si>
    <t>Nityananda Behera, Pitabas Behera, Krittibas Behera</t>
  </si>
  <si>
    <t>Benudhar Sahu, Duryodhan Sahu, Sita Sahu, Ukali Sahu, Muga Sahu</t>
  </si>
  <si>
    <t>Bikesh Kumar Majhi</t>
  </si>
  <si>
    <t>Malay Kumar Sahu</t>
  </si>
  <si>
    <t>Madhusudan Sahu</t>
  </si>
  <si>
    <t>Gobinda Dehuri, Srikar Dehuri, Srivatsa Dehuri, Lochana Dehuri, Tuani Dehuri</t>
  </si>
  <si>
    <t>414/477</t>
  </si>
  <si>
    <t>414/476</t>
  </si>
  <si>
    <t>5228/5611</t>
  </si>
  <si>
    <t>5270/5612</t>
  </si>
  <si>
    <t>5441/5616</t>
  </si>
  <si>
    <t>5102/5871</t>
  </si>
  <si>
    <t>Machhakuta</t>
  </si>
  <si>
    <t>Abhimanyu Sahu</t>
  </si>
  <si>
    <t>Kanchan Sahu</t>
  </si>
  <si>
    <t>8848 8400 4021</t>
  </si>
  <si>
    <t>8529 9147 2399</t>
  </si>
  <si>
    <t>50100856699543</t>
  </si>
  <si>
    <t>34824770539</t>
  </si>
  <si>
    <t>HDFC Bank</t>
  </si>
  <si>
    <t>HDFC0009840</t>
  </si>
  <si>
    <t>SBIN0009639</t>
  </si>
  <si>
    <t xml:space="preserve">Similipal, Chrakani, Po-Basantpur, PS-Chhendipada, Dist-Angul-759141 </t>
  </si>
  <si>
    <t>E-LHC/2024/117415</t>
  </si>
  <si>
    <t>UJQPS0267G</t>
  </si>
  <si>
    <t>RCFPS3680J</t>
  </si>
  <si>
    <t>mali</t>
  </si>
  <si>
    <t>Machhakuta, Po-Machhakuta, PS-Chhendipada, Dist-Angul-759124</t>
  </si>
  <si>
    <t>E-LHC/2025/228159</t>
  </si>
  <si>
    <t>Balia Behera</t>
  </si>
  <si>
    <t>Sajani Behera</t>
  </si>
  <si>
    <t>Panchali Rout</t>
  </si>
  <si>
    <t>Jema Mahar</t>
  </si>
  <si>
    <t>Mithei Behera</t>
  </si>
  <si>
    <t>Chiku Behera</t>
  </si>
  <si>
    <t>Kamala Bagh</t>
  </si>
  <si>
    <t>Machhakuta, Ps- Chhendipada, Dist. Angul- 759124</t>
  </si>
  <si>
    <t>Badagunduri, Bainda, Dist. Angul- 759117</t>
  </si>
  <si>
    <t>Kukurpeta, Ps- Chhendipada, Dist. Angul- 759124</t>
  </si>
  <si>
    <t>Kansamunda, Ps- Kaniha, Dist. Angul- 759117</t>
  </si>
  <si>
    <t>Tentuloi, Machhakuta, Ps- Chhendipada, Dist. Angul- 759124</t>
  </si>
  <si>
    <t>Tentuloi, Tentuloikodasahi, Ps- Chhendipada, Dist. Angul- 759124</t>
  </si>
  <si>
    <r>
      <t>E-LHC/2025/272096</t>
    </r>
    <r>
      <rPr>
        <sz val="11"/>
        <color rgb="FF000000"/>
        <rFont val="Calibri"/>
        <family val="2"/>
        <scheme val="minor"/>
      </rPr>
      <t>.</t>
    </r>
  </si>
  <si>
    <t>Minati Sahu</t>
  </si>
  <si>
    <t>Ukali Bewa</t>
  </si>
  <si>
    <t>Jayanta Majhi</t>
  </si>
  <si>
    <t>Bharati Dehury</t>
  </si>
  <si>
    <t>Balia Sahu</t>
  </si>
  <si>
    <t>Bagadia, Dist- Angul, 759141</t>
  </si>
  <si>
    <t>At/PO- Machhakuta, PS-Chhendipada, Dist- Angul, 759124</t>
  </si>
  <si>
    <t>At/Po- Barasahi, Dist- Angul, 759141</t>
  </si>
  <si>
    <t>At- Talasahi, PO/PS- Pipalbahal, Dist- Angul, 759141</t>
  </si>
  <si>
    <t>At/ PO- Bagadia, Dist- Angul, 759141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</si>
</sst>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43" formatCode="_ * #,##0.00_ ;_ * \-#,##0.00_ ;_ * &quot;-&quot;??_ ;_ @_ "/>
    <numFmt numFmtId="164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5" fontId="0" fillId="2" borderId="1" xfId="0" applyNumberFormat="1" applyFill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14" fontId="0" fillId="0" borderId="2" xfId="0" applyNumberFormat="1" applyBorder="1" applyAlignment="1">
      <alignment horizontal="left" vertical="center"/>
    </xf>
    <xf numFmtId="2" fontId="5" fillId="0" borderId="1" xfId="2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3" fontId="9" fillId="0" borderId="1" xfId="2" applyNumberFormat="1" applyFont="1" applyFill="1" applyBorder="1" applyAlignment="1">
      <alignment horizontal="center" vertical="center"/>
    </xf>
    <xf numFmtId="1" fontId="9" fillId="0" borderId="1" xfId="2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6" fillId="0" borderId="1" xfId="0" applyFont="1" applyBorder="1"/>
    <xf numFmtId="0" fontId="12" fillId="0" borderId="1" xfId="0" applyFont="1" applyBorder="1"/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/>
    </xf>
    <xf numFmtId="0" fontId="11" fillId="0" borderId="1" xfId="0" applyFont="1" applyBorder="1"/>
    <xf numFmtId="0" fontId="11" fillId="0" borderId="0" xfId="0" applyFont="1" applyAlignment="1">
      <alignment wrapText="1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4"/>
  <sheetViews>
    <sheetView tabSelected="1" topLeftCell="H1" zoomScaleNormal="100" workbookViewId="0">
      <selection activeCell="D1" sqref="D1"/>
    </sheetView>
  </sheetViews>
  <sheetFormatPr defaultColWidth="9.140625" defaultRowHeight="15" x14ac:dyDescent="0.25"/>
  <cols>
    <col min="1" max="1" width="9.140625" style="7"/>
    <col min="2" max="2" width="15.5703125" style="7" customWidth="1"/>
    <col min="3" max="3" width="12.5703125" style="7" customWidth="1"/>
    <col min="4" max="4" width="31.5703125" style="7" customWidth="1"/>
    <col min="5" max="5" width="25.85546875" style="7" customWidth="1"/>
    <col min="6" max="6" width="29.42578125" style="7" customWidth="1"/>
    <col min="7" max="7" width="9.140625" style="7"/>
    <col min="8" max="8" width="20.140625" style="7" customWidth="1"/>
    <col min="9" max="10" width="17.5703125" style="7" customWidth="1"/>
    <col min="11" max="11" width="15.7109375" style="7" customWidth="1"/>
    <col min="12" max="12" width="12" style="7" customWidth="1"/>
    <col min="13" max="13" width="17.28515625" style="7" customWidth="1"/>
    <col min="14" max="14" width="12.42578125" style="7" customWidth="1"/>
    <col min="15" max="18" width="9.140625" style="7"/>
    <col min="19" max="19" width="13.28515625" style="7" customWidth="1"/>
    <col min="20" max="20" width="9.140625" style="7"/>
    <col min="21" max="21" width="12.28515625" style="7" customWidth="1"/>
    <col min="22" max="22" width="13.7109375" style="7" customWidth="1"/>
    <col min="23" max="23" width="12.28515625" style="7" customWidth="1"/>
    <col min="24" max="24" width="16" style="7" customWidth="1"/>
    <col min="25" max="25" width="12.42578125" style="7" customWidth="1"/>
    <col min="26" max="26" width="9.140625" style="7"/>
    <col min="27" max="27" width="13.42578125" style="7" customWidth="1"/>
    <col min="28" max="28" width="9.140625" style="7"/>
    <col min="29" max="29" width="9.5703125" style="7" bestFit="1" customWidth="1"/>
    <col min="30" max="30" width="12" style="7" customWidth="1"/>
    <col min="31" max="31" width="12.7109375" style="7" customWidth="1"/>
    <col min="32" max="32" width="13" style="7" customWidth="1"/>
    <col min="33" max="33" width="17.5703125" style="7" customWidth="1"/>
    <col min="34" max="34" width="10.28515625" style="7" bestFit="1" customWidth="1"/>
    <col min="35" max="35" width="13" style="7" customWidth="1"/>
    <col min="36" max="36" width="15.85546875" style="7" customWidth="1"/>
    <col min="37" max="37" width="9.140625" style="7"/>
    <col min="38" max="38" width="15.7109375" style="7" customWidth="1"/>
    <col min="39" max="39" width="18.85546875" style="7" customWidth="1"/>
    <col min="40" max="40" width="12.7109375" style="7" customWidth="1"/>
    <col min="41" max="41" width="17.85546875" style="7" customWidth="1"/>
    <col min="42" max="42" width="20" style="7" customWidth="1"/>
    <col min="43" max="43" width="9.140625" style="7"/>
    <col min="44" max="44" width="14.140625" style="7" customWidth="1"/>
    <col min="45" max="45" width="10.7109375" style="7" customWidth="1"/>
    <col min="46" max="46" width="16.140625" style="7" customWidth="1"/>
    <col min="47" max="47" width="14.140625" style="7" customWidth="1"/>
    <col min="48" max="49" width="9.140625" style="7"/>
    <col min="50" max="50" width="22.28515625" style="7" customWidth="1"/>
    <col min="51" max="58" width="9.140625" style="7"/>
    <col min="59" max="59" width="19.7109375" style="7" customWidth="1"/>
    <col min="60" max="60" width="9.140625" style="7"/>
    <col min="61" max="61" width="10.42578125" style="7" bestFit="1" customWidth="1"/>
    <col min="62" max="62" width="21.28515625" style="7" customWidth="1"/>
    <col min="63" max="63" width="16" style="7" customWidth="1"/>
    <col min="64" max="64" width="27" style="7" customWidth="1"/>
    <col min="65" max="65" width="11.28515625" style="7" bestFit="1" customWidth="1"/>
    <col min="66" max="69" width="9.140625" style="7"/>
    <col min="70" max="75" width="11.28515625" style="7" bestFit="1" customWidth="1"/>
    <col min="76" max="79" width="9.140625" style="7"/>
    <col min="80" max="80" width="10.42578125" style="7" bestFit="1" customWidth="1"/>
    <col min="81" max="81" width="16" style="7" customWidth="1"/>
    <col min="82" max="82" width="9.140625" style="7"/>
    <col min="83" max="83" width="19.85546875" style="7" customWidth="1"/>
    <col min="84" max="84" width="9.140625" style="7"/>
    <col min="85" max="85" width="10.42578125" style="7" bestFit="1" customWidth="1"/>
    <col min="86" max="16384" width="9.140625" style="7"/>
  </cols>
  <sheetData>
    <row r="1" spans="1:86" ht="11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5" t="s">
        <v>37</v>
      </c>
      <c r="AM1" s="5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</row>
    <row r="2" spans="1:86" ht="54.75" customHeight="1" x14ac:dyDescent="0.25">
      <c r="A2" s="7">
        <v>1</v>
      </c>
      <c r="B2" s="42" t="s">
        <v>118</v>
      </c>
      <c r="C2" s="19">
        <v>46100</v>
      </c>
      <c r="D2" s="42" t="s">
        <v>125</v>
      </c>
      <c r="E2" s="42" t="s">
        <v>125</v>
      </c>
      <c r="F2" s="32"/>
      <c r="G2" s="9" t="s">
        <v>101</v>
      </c>
      <c r="H2" s="2" t="s">
        <v>138</v>
      </c>
      <c r="I2" s="9" t="s">
        <v>96</v>
      </c>
      <c r="J2" s="9" t="s">
        <v>96</v>
      </c>
      <c r="K2" s="9">
        <v>40</v>
      </c>
      <c r="L2" s="42">
        <v>217</v>
      </c>
      <c r="M2" s="39">
        <v>5477</v>
      </c>
      <c r="N2" s="23" t="s">
        <v>92</v>
      </c>
      <c r="O2" s="40" t="s">
        <v>95</v>
      </c>
      <c r="P2" s="31"/>
      <c r="Q2" s="41">
        <f>R2*2.471</f>
        <v>0.30022650000000001</v>
      </c>
      <c r="R2" s="30">
        <v>0.1215</v>
      </c>
      <c r="S2" s="41">
        <f>ROUND(T2*2.471054,4)</f>
        <v>0.30020000000000002</v>
      </c>
      <c r="T2" s="30">
        <v>0.1215</v>
      </c>
      <c r="U2" s="6">
        <v>2536416</v>
      </c>
      <c r="V2" s="45">
        <f>ROUND(S2*U2,0)</f>
        <v>761432</v>
      </c>
      <c r="W2" s="45">
        <f t="shared" ref="W2:W23" si="0">V2*2</f>
        <v>1522864</v>
      </c>
      <c r="X2" s="23"/>
      <c r="Y2" s="45">
        <v>0</v>
      </c>
      <c r="Z2" s="23"/>
      <c r="AA2" s="44">
        <v>0</v>
      </c>
      <c r="AB2" s="23"/>
      <c r="AC2" s="44">
        <v>0</v>
      </c>
      <c r="AD2" s="20">
        <f>AE2</f>
        <v>1522864</v>
      </c>
      <c r="AE2" s="45">
        <f>SUM(W2:AC2)</f>
        <v>1522864</v>
      </c>
      <c r="AF2" s="45">
        <f>ROUND((V2*854*12)/36500,0)</f>
        <v>213785</v>
      </c>
      <c r="AG2" s="45">
        <f>SUM(AD2:AF2)</f>
        <v>3259513</v>
      </c>
      <c r="AH2" s="20"/>
      <c r="AI2" s="16"/>
      <c r="AJ2" s="16"/>
      <c r="AK2" s="18"/>
      <c r="AL2" s="12"/>
      <c r="AM2" s="13"/>
      <c r="AN2" s="13"/>
      <c r="AO2" s="13"/>
      <c r="AP2" s="22"/>
      <c r="AQ2" s="22"/>
      <c r="AR2"/>
      <c r="AX2" s="7" t="s">
        <v>108</v>
      </c>
      <c r="AY2" s="9">
        <v>1</v>
      </c>
      <c r="AZ2" s="9">
        <v>1</v>
      </c>
      <c r="BA2" s="9">
        <v>1</v>
      </c>
      <c r="BB2" s="9">
        <v>2</v>
      </c>
      <c r="BC2" s="9">
        <v>0</v>
      </c>
      <c r="BD2" s="9">
        <v>0</v>
      </c>
      <c r="BE2" s="9">
        <v>0</v>
      </c>
      <c r="BF2" s="9">
        <v>0</v>
      </c>
      <c r="BH2" s="24" t="s">
        <v>87</v>
      </c>
      <c r="BI2" s="28">
        <v>46025</v>
      </c>
      <c r="BJ2" s="7" t="s">
        <v>102</v>
      </c>
      <c r="BK2" s="7" t="s">
        <v>103</v>
      </c>
      <c r="BL2" s="7" t="s">
        <v>109</v>
      </c>
      <c r="BM2" s="9" t="s">
        <v>104</v>
      </c>
      <c r="BN2" s="9" t="s">
        <v>99</v>
      </c>
      <c r="BO2" s="9" t="s">
        <v>99</v>
      </c>
      <c r="BP2" s="9" t="s">
        <v>99</v>
      </c>
      <c r="BQ2" s="9" t="s">
        <v>99</v>
      </c>
      <c r="BR2" s="9" t="s">
        <v>99</v>
      </c>
      <c r="BS2" s="9" t="s">
        <v>99</v>
      </c>
      <c r="BT2" s="9" t="s">
        <v>99</v>
      </c>
      <c r="BU2" s="9" t="s">
        <v>99</v>
      </c>
      <c r="BV2" s="9" t="s">
        <v>99</v>
      </c>
      <c r="BW2" s="9" t="s">
        <v>99</v>
      </c>
      <c r="BX2" s="9" t="s">
        <v>99</v>
      </c>
      <c r="BY2" s="9" t="s">
        <v>99</v>
      </c>
      <c r="BZ2" s="9" t="s">
        <v>99</v>
      </c>
      <c r="CA2" s="36" t="s">
        <v>105</v>
      </c>
      <c r="CB2" s="37">
        <v>46145</v>
      </c>
      <c r="CC2" s="9" t="s">
        <v>106</v>
      </c>
      <c r="CD2" s="9" t="s">
        <v>103</v>
      </c>
      <c r="CE2" s="9" t="s">
        <v>114</v>
      </c>
      <c r="CF2" s="9" t="s">
        <v>116</v>
      </c>
    </row>
    <row r="3" spans="1:86" ht="62.25" customHeight="1" x14ac:dyDescent="0.25">
      <c r="A3" s="7">
        <v>2</v>
      </c>
      <c r="B3" s="42" t="s">
        <v>118</v>
      </c>
      <c r="C3" s="19">
        <v>46100</v>
      </c>
      <c r="D3" s="42" t="s">
        <v>125</v>
      </c>
      <c r="E3" s="42" t="s">
        <v>125</v>
      </c>
      <c r="F3" s="32"/>
      <c r="G3" s="9" t="s">
        <v>101</v>
      </c>
      <c r="H3" s="2" t="s">
        <v>138</v>
      </c>
      <c r="I3" s="9" t="s">
        <v>96</v>
      </c>
      <c r="J3" s="9" t="s">
        <v>96</v>
      </c>
      <c r="K3" s="9">
        <v>40</v>
      </c>
      <c r="L3" s="42">
        <v>217</v>
      </c>
      <c r="M3" s="39" t="s">
        <v>134</v>
      </c>
      <c r="N3" s="23" t="s">
        <v>90</v>
      </c>
      <c r="O3" s="40" t="s">
        <v>94</v>
      </c>
      <c r="P3" s="31"/>
      <c r="Q3" s="41">
        <f t="shared" ref="Q3:S24" si="1">R3*2.471</f>
        <v>0.2928135</v>
      </c>
      <c r="R3" s="30">
        <v>0.11849999999999999</v>
      </c>
      <c r="S3" s="41">
        <f t="shared" ref="S3:S23" si="2">ROUND(T3*2.471054,4)</f>
        <v>0.2928</v>
      </c>
      <c r="T3" s="30">
        <v>0.11849999999999999</v>
      </c>
      <c r="U3" s="6">
        <v>2498838</v>
      </c>
      <c r="V3" s="45">
        <f t="shared" ref="V3:V23" si="3">ROUND(S3*U3,0)</f>
        <v>731660</v>
      </c>
      <c r="W3" s="45">
        <f t="shared" si="0"/>
        <v>1463320</v>
      </c>
      <c r="X3" s="23"/>
      <c r="Y3" s="45">
        <v>0</v>
      </c>
      <c r="Z3" s="23"/>
      <c r="AA3" s="44">
        <v>0</v>
      </c>
      <c r="AB3" s="23"/>
      <c r="AC3" s="44">
        <v>0</v>
      </c>
      <c r="AD3" s="20">
        <f t="shared" ref="AD3:AD23" si="4">AE3</f>
        <v>1463320</v>
      </c>
      <c r="AE3" s="45">
        <f t="shared" ref="AE3:AE23" si="5">SUM(W3:AC3)</f>
        <v>1463320</v>
      </c>
      <c r="AF3" s="45">
        <f t="shared" ref="AF3:AF23" si="6">ROUND((V3*854*12)/36500,0)</f>
        <v>205426</v>
      </c>
      <c r="AG3" s="45">
        <f t="shared" ref="AG3:AG23" si="7">SUM(AD3:AF3)</f>
        <v>3132066</v>
      </c>
      <c r="AH3" s="20"/>
      <c r="AI3" s="16"/>
      <c r="AJ3" s="16"/>
      <c r="AK3" s="18"/>
      <c r="AL3" s="14"/>
      <c r="AM3" s="15"/>
      <c r="AN3" s="15"/>
      <c r="AO3" s="15"/>
      <c r="AP3" s="22"/>
      <c r="AQ3" s="22"/>
      <c r="AR3"/>
      <c r="AX3" s="7" t="s">
        <v>108</v>
      </c>
      <c r="AY3" s="9">
        <v>1</v>
      </c>
      <c r="AZ3" s="9">
        <v>1</v>
      </c>
      <c r="BA3" s="9">
        <v>1</v>
      </c>
      <c r="BB3" s="9">
        <v>2</v>
      </c>
      <c r="BC3" s="9">
        <v>0</v>
      </c>
      <c r="BD3" s="9">
        <v>0</v>
      </c>
      <c r="BE3" s="9">
        <v>1</v>
      </c>
      <c r="BF3" s="9">
        <v>0</v>
      </c>
      <c r="BH3" s="24" t="s">
        <v>87</v>
      </c>
      <c r="BI3" s="28">
        <v>46025</v>
      </c>
      <c r="BJ3" s="7" t="s">
        <v>102</v>
      </c>
      <c r="BK3" s="7" t="s">
        <v>103</v>
      </c>
      <c r="BL3" s="7" t="s">
        <v>109</v>
      </c>
      <c r="BM3" s="9" t="s">
        <v>104</v>
      </c>
      <c r="BN3" s="9" t="s">
        <v>99</v>
      </c>
      <c r="BO3" s="9" t="s">
        <v>99</v>
      </c>
      <c r="BP3" s="9" t="s">
        <v>99</v>
      </c>
      <c r="BQ3" s="9" t="s">
        <v>99</v>
      </c>
      <c r="BR3" s="9" t="s">
        <v>99</v>
      </c>
      <c r="BS3" s="9" t="s">
        <v>99</v>
      </c>
      <c r="BT3" s="9" t="s">
        <v>99</v>
      </c>
      <c r="BU3" s="9" t="s">
        <v>99</v>
      </c>
      <c r="BV3" s="9" t="s">
        <v>99</v>
      </c>
      <c r="BW3" s="9" t="s">
        <v>99</v>
      </c>
      <c r="BX3" s="9" t="s">
        <v>99</v>
      </c>
      <c r="BY3" s="9" t="s">
        <v>99</v>
      </c>
      <c r="BZ3" s="9" t="s">
        <v>99</v>
      </c>
      <c r="CA3" s="36" t="s">
        <v>105</v>
      </c>
      <c r="CB3" s="37">
        <v>46145</v>
      </c>
      <c r="CC3" s="9" t="s">
        <v>106</v>
      </c>
      <c r="CD3" s="9" t="s">
        <v>103</v>
      </c>
      <c r="CE3" s="9" t="s">
        <v>114</v>
      </c>
      <c r="CF3" s="9" t="s">
        <v>116</v>
      </c>
    </row>
    <row r="4" spans="1:86" ht="45" x14ac:dyDescent="0.25">
      <c r="A4" s="7">
        <v>3</v>
      </c>
      <c r="B4" s="42" t="s">
        <v>118</v>
      </c>
      <c r="C4" s="19">
        <v>46100</v>
      </c>
      <c r="D4" s="42" t="s">
        <v>125</v>
      </c>
      <c r="E4" s="42" t="s">
        <v>125</v>
      </c>
      <c r="F4" s="33"/>
      <c r="G4" s="9" t="s">
        <v>101</v>
      </c>
      <c r="H4" s="2" t="s">
        <v>138</v>
      </c>
      <c r="I4" s="9" t="s">
        <v>96</v>
      </c>
      <c r="J4" s="9" t="s">
        <v>96</v>
      </c>
      <c r="K4" s="9">
        <v>40</v>
      </c>
      <c r="L4" s="42">
        <v>217</v>
      </c>
      <c r="M4" s="23" t="s">
        <v>135</v>
      </c>
      <c r="N4" s="23" t="s">
        <v>89</v>
      </c>
      <c r="O4" s="40" t="s">
        <v>94</v>
      </c>
      <c r="P4" s="10"/>
      <c r="Q4" s="41">
        <f t="shared" si="1"/>
        <v>0.49420000000000003</v>
      </c>
      <c r="R4" s="30">
        <v>0.2</v>
      </c>
      <c r="S4" s="41">
        <f t="shared" si="2"/>
        <v>0.27629999999999999</v>
      </c>
      <c r="T4" s="30">
        <v>0.1118</v>
      </c>
      <c r="U4" s="6">
        <v>2498838</v>
      </c>
      <c r="V4" s="45">
        <f t="shared" si="3"/>
        <v>690429</v>
      </c>
      <c r="W4" s="45">
        <f t="shared" si="0"/>
        <v>1380858</v>
      </c>
      <c r="X4" s="23"/>
      <c r="Y4" s="45">
        <v>0</v>
      </c>
      <c r="Z4" s="21"/>
      <c r="AA4" s="44">
        <v>0</v>
      </c>
      <c r="AB4" s="21"/>
      <c r="AC4" s="44">
        <v>0</v>
      </c>
      <c r="AD4" s="20">
        <f t="shared" si="4"/>
        <v>1380858</v>
      </c>
      <c r="AE4" s="45">
        <f t="shared" si="5"/>
        <v>1380858</v>
      </c>
      <c r="AF4" s="45">
        <f t="shared" si="6"/>
        <v>193850</v>
      </c>
      <c r="AG4" s="45">
        <f t="shared" si="7"/>
        <v>2955566</v>
      </c>
      <c r="AH4" s="11"/>
      <c r="AK4" s="18"/>
      <c r="AL4" s="17"/>
      <c r="AP4" s="22"/>
      <c r="AR4"/>
      <c r="AX4" s="7" t="s">
        <v>108</v>
      </c>
      <c r="AY4" s="9">
        <v>1</v>
      </c>
      <c r="AZ4" s="9">
        <v>1</v>
      </c>
      <c r="BA4" s="9">
        <v>1</v>
      </c>
      <c r="BB4" s="9">
        <v>2</v>
      </c>
      <c r="BC4" s="9">
        <v>0</v>
      </c>
      <c r="BD4" s="9">
        <v>0</v>
      </c>
      <c r="BE4" s="9">
        <v>1</v>
      </c>
      <c r="BF4" s="9">
        <v>0</v>
      </c>
      <c r="BH4" s="24" t="s">
        <v>87</v>
      </c>
      <c r="BI4" s="28">
        <v>46025</v>
      </c>
      <c r="BJ4" s="7" t="s">
        <v>102</v>
      </c>
      <c r="BK4" s="7" t="s">
        <v>103</v>
      </c>
      <c r="BL4" s="7" t="s">
        <v>109</v>
      </c>
      <c r="BM4" s="9" t="s">
        <v>104</v>
      </c>
      <c r="BN4" s="9" t="s">
        <v>99</v>
      </c>
      <c r="BO4" s="9" t="s">
        <v>99</v>
      </c>
      <c r="BP4" s="9" t="s">
        <v>99</v>
      </c>
      <c r="BQ4" s="9" t="s">
        <v>99</v>
      </c>
      <c r="BR4" s="9" t="s">
        <v>99</v>
      </c>
      <c r="BS4" s="9" t="s">
        <v>99</v>
      </c>
      <c r="BT4" s="9" t="s">
        <v>99</v>
      </c>
      <c r="BU4" s="9" t="s">
        <v>99</v>
      </c>
      <c r="BV4" s="9" t="s">
        <v>99</v>
      </c>
      <c r="BW4" s="9" t="s">
        <v>99</v>
      </c>
      <c r="BX4" s="9" t="s">
        <v>99</v>
      </c>
      <c r="BY4" s="9" t="s">
        <v>99</v>
      </c>
      <c r="BZ4" s="9" t="s">
        <v>99</v>
      </c>
      <c r="CA4" s="36" t="s">
        <v>105</v>
      </c>
      <c r="CB4" s="37">
        <v>46145</v>
      </c>
      <c r="CC4" s="9" t="s">
        <v>106</v>
      </c>
      <c r="CD4" s="9" t="s">
        <v>103</v>
      </c>
      <c r="CE4" s="9" t="s">
        <v>114</v>
      </c>
      <c r="CF4" s="9" t="s">
        <v>116</v>
      </c>
    </row>
    <row r="5" spans="1:86" ht="53.25" customHeight="1" x14ac:dyDescent="0.25">
      <c r="A5" s="7">
        <v>4</v>
      </c>
      <c r="B5" s="42" t="s">
        <v>118</v>
      </c>
      <c r="C5" s="19">
        <v>46100</v>
      </c>
      <c r="D5" s="42" t="s">
        <v>125</v>
      </c>
      <c r="G5" s="9" t="s">
        <v>101</v>
      </c>
      <c r="H5" s="2" t="s">
        <v>138</v>
      </c>
      <c r="I5" s="9" t="s">
        <v>96</v>
      </c>
      <c r="J5" s="9" t="s">
        <v>96</v>
      </c>
      <c r="K5" s="9">
        <v>40</v>
      </c>
      <c r="L5" s="42">
        <v>217</v>
      </c>
      <c r="M5" s="23" t="s">
        <v>136</v>
      </c>
      <c r="N5" s="23" t="s">
        <v>91</v>
      </c>
      <c r="O5" s="40" t="s">
        <v>95</v>
      </c>
      <c r="P5" s="31"/>
      <c r="Q5" s="41">
        <f t="shared" si="1"/>
        <v>0.47072550000000002</v>
      </c>
      <c r="R5" s="30">
        <v>0.1905</v>
      </c>
      <c r="S5" s="41">
        <f t="shared" si="2"/>
        <v>0.47070000000000001</v>
      </c>
      <c r="T5" s="30">
        <v>0.1905</v>
      </c>
      <c r="U5" s="6">
        <v>2536416</v>
      </c>
      <c r="V5" s="45">
        <f t="shared" si="3"/>
        <v>1193891</v>
      </c>
      <c r="W5" s="45">
        <f t="shared" si="0"/>
        <v>2387782</v>
      </c>
      <c r="Y5" s="45">
        <v>0</v>
      </c>
      <c r="Z5" s="21"/>
      <c r="AA5" s="44">
        <v>0</v>
      </c>
      <c r="AB5" s="21"/>
      <c r="AC5" s="44">
        <v>0</v>
      </c>
      <c r="AD5" s="20">
        <f t="shared" si="4"/>
        <v>2387782</v>
      </c>
      <c r="AE5" s="45">
        <f t="shared" si="5"/>
        <v>2387782</v>
      </c>
      <c r="AF5" s="45">
        <f t="shared" si="6"/>
        <v>335205</v>
      </c>
      <c r="AG5" s="45">
        <f t="shared" si="7"/>
        <v>5110769</v>
      </c>
      <c r="AH5" s="35"/>
      <c r="AI5" s="34"/>
      <c r="AJ5" s="9"/>
      <c r="AK5" s="18"/>
      <c r="AL5" s="17"/>
      <c r="AP5" s="22"/>
      <c r="AQ5" s="22"/>
      <c r="AR5" s="22"/>
      <c r="AY5" s="9">
        <v>1</v>
      </c>
      <c r="AZ5" s="9">
        <v>1</v>
      </c>
      <c r="BA5" s="9">
        <v>2</v>
      </c>
      <c r="BB5" s="9">
        <v>1</v>
      </c>
      <c r="BC5" s="9">
        <v>0</v>
      </c>
      <c r="BD5" s="9">
        <v>0</v>
      </c>
      <c r="BE5" s="9">
        <v>0</v>
      </c>
      <c r="BF5" s="9">
        <v>2</v>
      </c>
      <c r="BG5" s="38" t="s">
        <v>100</v>
      </c>
      <c r="BH5" s="8" t="s">
        <v>88</v>
      </c>
      <c r="BI5" s="29">
        <v>46037</v>
      </c>
      <c r="BJ5" s="7" t="s">
        <v>110</v>
      </c>
      <c r="BK5" s="7" t="s">
        <v>111</v>
      </c>
      <c r="BL5" s="7" t="s">
        <v>112</v>
      </c>
      <c r="BM5" s="9" t="s">
        <v>99</v>
      </c>
      <c r="BN5" s="9" t="s">
        <v>104</v>
      </c>
      <c r="BO5" s="9" t="s">
        <v>104</v>
      </c>
      <c r="BP5" s="9" t="s">
        <v>104</v>
      </c>
      <c r="BQ5" s="9" t="s">
        <v>104</v>
      </c>
      <c r="BR5" s="9" t="s">
        <v>104</v>
      </c>
      <c r="BS5" s="9" t="s">
        <v>104</v>
      </c>
      <c r="BT5" s="9" t="s">
        <v>104</v>
      </c>
      <c r="BU5" s="9" t="s">
        <v>104</v>
      </c>
      <c r="BV5" s="9" t="s">
        <v>104</v>
      </c>
      <c r="BW5" s="9" t="s">
        <v>104</v>
      </c>
      <c r="BX5" s="9" t="s">
        <v>104</v>
      </c>
      <c r="BY5" s="9" t="s">
        <v>104</v>
      </c>
      <c r="BZ5" s="9" t="s">
        <v>104</v>
      </c>
      <c r="CA5" s="36" t="s">
        <v>105</v>
      </c>
      <c r="CB5" s="37">
        <v>46145</v>
      </c>
      <c r="CC5" s="9" t="s">
        <v>110</v>
      </c>
      <c r="CD5" s="9" t="s">
        <v>111</v>
      </c>
      <c r="CE5" s="9" t="s">
        <v>113</v>
      </c>
      <c r="CF5" s="9" t="s">
        <v>117</v>
      </c>
      <c r="CG5" s="37">
        <v>46102</v>
      </c>
      <c r="CH5" s="9">
        <v>20000</v>
      </c>
    </row>
    <row r="6" spans="1:86" ht="47.25" x14ac:dyDescent="0.25">
      <c r="A6" s="7">
        <v>5</v>
      </c>
      <c r="B6" s="42" t="s">
        <v>119</v>
      </c>
      <c r="C6" s="19">
        <v>46100</v>
      </c>
      <c r="D6" s="43" t="s">
        <v>126</v>
      </c>
      <c r="E6" s="51" t="s">
        <v>155</v>
      </c>
      <c r="F6" s="53" t="s">
        <v>162</v>
      </c>
      <c r="G6" s="9" t="s">
        <v>101</v>
      </c>
      <c r="H6" s="2" t="s">
        <v>138</v>
      </c>
      <c r="I6" s="9" t="s">
        <v>96</v>
      </c>
      <c r="J6" s="9" t="s">
        <v>96</v>
      </c>
      <c r="K6" s="9">
        <v>40</v>
      </c>
      <c r="L6" s="42">
        <v>191</v>
      </c>
      <c r="M6" s="23">
        <v>5389</v>
      </c>
      <c r="N6" s="23" t="s">
        <v>90</v>
      </c>
      <c r="O6" s="40" t="s">
        <v>94</v>
      </c>
      <c r="P6" s="10"/>
      <c r="Q6" s="41">
        <f t="shared" si="1"/>
        <v>4.9420000000000006E-2</v>
      </c>
      <c r="R6" s="30">
        <v>0.02</v>
      </c>
      <c r="S6" s="41">
        <f t="shared" si="2"/>
        <v>4.9399999999999999E-2</v>
      </c>
      <c r="T6" s="30">
        <v>0.02</v>
      </c>
      <c r="U6" s="6">
        <v>2498838</v>
      </c>
      <c r="V6" s="45">
        <f t="shared" si="3"/>
        <v>123443</v>
      </c>
      <c r="W6" s="45">
        <f t="shared" si="0"/>
        <v>246886</v>
      </c>
      <c r="Y6" s="45">
        <v>3375</v>
      </c>
      <c r="Z6" s="21"/>
      <c r="AA6" s="44">
        <v>0</v>
      </c>
      <c r="AB6" s="21"/>
      <c r="AC6" s="44">
        <v>0</v>
      </c>
      <c r="AD6" s="20">
        <f t="shared" si="4"/>
        <v>250261</v>
      </c>
      <c r="AE6" s="45">
        <f t="shared" si="5"/>
        <v>250261</v>
      </c>
      <c r="AF6" s="45">
        <f t="shared" si="6"/>
        <v>34659</v>
      </c>
      <c r="AG6" s="45">
        <f t="shared" si="7"/>
        <v>535181</v>
      </c>
      <c r="AH6" s="35"/>
      <c r="AL6" s="17"/>
      <c r="AP6" s="22"/>
      <c r="AQ6" s="22"/>
      <c r="AR6" s="22"/>
      <c r="AY6" s="9">
        <v>1</v>
      </c>
      <c r="AZ6" s="9">
        <v>1</v>
      </c>
      <c r="BA6" s="9">
        <v>2</v>
      </c>
      <c r="BB6" s="9">
        <v>1</v>
      </c>
      <c r="BC6" s="9">
        <v>0</v>
      </c>
      <c r="BD6" s="9">
        <v>0</v>
      </c>
      <c r="BE6" s="9">
        <v>0</v>
      </c>
      <c r="BF6" s="9">
        <v>1</v>
      </c>
      <c r="BG6" s="38" t="s">
        <v>100</v>
      </c>
      <c r="BH6" s="8" t="s">
        <v>88</v>
      </c>
      <c r="BI6" s="29">
        <v>46037</v>
      </c>
      <c r="BJ6" s="7" t="s">
        <v>110</v>
      </c>
      <c r="BK6" s="7" t="s">
        <v>111</v>
      </c>
      <c r="BL6" s="7" t="s">
        <v>112</v>
      </c>
      <c r="BM6" s="9" t="s">
        <v>99</v>
      </c>
      <c r="BN6" s="9" t="s">
        <v>104</v>
      </c>
      <c r="BO6" s="9" t="s">
        <v>104</v>
      </c>
      <c r="BP6" s="9" t="s">
        <v>104</v>
      </c>
      <c r="BQ6" s="9" t="s">
        <v>104</v>
      </c>
      <c r="BR6" s="9" t="s">
        <v>104</v>
      </c>
      <c r="BS6" s="9" t="s">
        <v>104</v>
      </c>
      <c r="BT6" s="9" t="s">
        <v>104</v>
      </c>
      <c r="BU6" s="9" t="s">
        <v>104</v>
      </c>
      <c r="BV6" s="9" t="s">
        <v>104</v>
      </c>
      <c r="BW6" s="9" t="s">
        <v>104</v>
      </c>
      <c r="BX6" s="9" t="s">
        <v>104</v>
      </c>
      <c r="BY6" s="9" t="s">
        <v>104</v>
      </c>
      <c r="BZ6" s="9" t="s">
        <v>104</v>
      </c>
      <c r="CA6" s="36" t="s">
        <v>105</v>
      </c>
      <c r="CB6" s="37">
        <v>46145</v>
      </c>
      <c r="CC6" s="9" t="s">
        <v>110</v>
      </c>
      <c r="CD6" s="9" t="s">
        <v>111</v>
      </c>
      <c r="CE6" s="9" t="s">
        <v>113</v>
      </c>
      <c r="CF6" s="9" t="s">
        <v>117</v>
      </c>
      <c r="CG6" s="37">
        <v>46102</v>
      </c>
      <c r="CH6" s="9">
        <v>20000</v>
      </c>
    </row>
    <row r="7" spans="1:86" ht="45" x14ac:dyDescent="0.25">
      <c r="A7" s="7">
        <v>6</v>
      </c>
      <c r="B7" s="42" t="s">
        <v>119</v>
      </c>
      <c r="C7" s="19">
        <v>46100</v>
      </c>
      <c r="D7" s="43" t="s">
        <v>126</v>
      </c>
      <c r="E7" s="52" t="s">
        <v>156</v>
      </c>
      <c r="F7" s="54" t="s">
        <v>163</v>
      </c>
      <c r="G7" s="7" t="s">
        <v>107</v>
      </c>
      <c r="H7" s="2" t="s">
        <v>138</v>
      </c>
      <c r="I7" s="9" t="s">
        <v>96</v>
      </c>
      <c r="J7" s="9" t="s">
        <v>96</v>
      </c>
      <c r="K7" s="9">
        <v>40</v>
      </c>
      <c r="L7" s="42">
        <v>191</v>
      </c>
      <c r="M7" s="23">
        <v>5392</v>
      </c>
      <c r="N7" s="23" t="s">
        <v>90</v>
      </c>
      <c r="O7" s="40" t="s">
        <v>94</v>
      </c>
      <c r="P7" s="10"/>
      <c r="Q7" s="41">
        <f t="shared" si="1"/>
        <v>8.6485000000000006E-2</v>
      </c>
      <c r="R7" s="30">
        <v>3.5000000000000003E-2</v>
      </c>
      <c r="S7" s="41">
        <f t="shared" si="2"/>
        <v>8.6499999999999994E-2</v>
      </c>
      <c r="T7" s="30">
        <v>3.5000000000000003E-2</v>
      </c>
      <c r="U7" s="6">
        <v>2498838</v>
      </c>
      <c r="V7" s="45">
        <f t="shared" si="3"/>
        <v>216149</v>
      </c>
      <c r="W7" s="45">
        <f t="shared" si="0"/>
        <v>432298</v>
      </c>
      <c r="Y7" s="45">
        <v>0</v>
      </c>
      <c r="Z7" s="21"/>
      <c r="AA7" s="44">
        <v>0</v>
      </c>
      <c r="AB7" s="21"/>
      <c r="AC7" s="44">
        <v>0</v>
      </c>
      <c r="AD7" s="20">
        <f t="shared" si="4"/>
        <v>432298</v>
      </c>
      <c r="AE7" s="45">
        <f t="shared" si="5"/>
        <v>432298</v>
      </c>
      <c r="AF7" s="45">
        <f t="shared" si="6"/>
        <v>60688</v>
      </c>
      <c r="AG7" s="45">
        <f t="shared" si="7"/>
        <v>925284</v>
      </c>
      <c r="AH7" s="35"/>
      <c r="AL7" s="17"/>
      <c r="AP7" s="22"/>
      <c r="AQ7" s="22"/>
      <c r="AR7" s="22"/>
      <c r="AX7" s="18" t="s">
        <v>115</v>
      </c>
      <c r="AY7" s="9">
        <v>2</v>
      </c>
      <c r="AZ7" s="9">
        <v>1</v>
      </c>
      <c r="BA7" s="9">
        <v>1</v>
      </c>
      <c r="BB7" s="9">
        <v>1</v>
      </c>
      <c r="BC7" s="9">
        <v>0</v>
      </c>
      <c r="BD7" s="9">
        <v>0</v>
      </c>
      <c r="BE7" s="9">
        <v>0</v>
      </c>
      <c r="BF7" s="9">
        <v>0</v>
      </c>
      <c r="BG7" s="38" t="s">
        <v>100</v>
      </c>
      <c r="BH7" s="8" t="s">
        <v>88</v>
      </c>
      <c r="BI7" s="29">
        <v>46037</v>
      </c>
      <c r="BJ7" s="7" t="s">
        <v>110</v>
      </c>
      <c r="BK7" s="7" t="s">
        <v>111</v>
      </c>
      <c r="BL7" s="7" t="s">
        <v>112</v>
      </c>
      <c r="BM7" s="9" t="s">
        <v>99</v>
      </c>
      <c r="BN7" s="9" t="s">
        <v>104</v>
      </c>
      <c r="BO7" s="9" t="s">
        <v>104</v>
      </c>
      <c r="BP7" s="9" t="s">
        <v>104</v>
      </c>
      <c r="BQ7" s="9" t="s">
        <v>104</v>
      </c>
      <c r="BR7" s="9" t="s">
        <v>104</v>
      </c>
      <c r="BS7" s="9" t="s">
        <v>104</v>
      </c>
      <c r="BT7" s="9" t="s">
        <v>104</v>
      </c>
      <c r="BU7" s="9" t="s">
        <v>104</v>
      </c>
      <c r="BV7" s="9" t="s">
        <v>104</v>
      </c>
      <c r="BW7" s="9" t="s">
        <v>104</v>
      </c>
      <c r="BX7" s="9" t="s">
        <v>104</v>
      </c>
      <c r="BY7" s="9" t="s">
        <v>104</v>
      </c>
      <c r="BZ7" s="9" t="s">
        <v>104</v>
      </c>
      <c r="CA7" s="36" t="s">
        <v>105</v>
      </c>
      <c r="CB7" s="37">
        <v>46145</v>
      </c>
      <c r="CC7" s="9" t="s">
        <v>106</v>
      </c>
      <c r="CD7" s="9" t="s">
        <v>111</v>
      </c>
      <c r="CE7" s="9" t="s">
        <v>113</v>
      </c>
      <c r="CF7" s="9" t="s">
        <v>117</v>
      </c>
      <c r="CG7" s="37">
        <v>46102</v>
      </c>
      <c r="CH7" s="9">
        <v>20000</v>
      </c>
    </row>
    <row r="8" spans="1:86" ht="30" x14ac:dyDescent="0.25">
      <c r="A8" s="7">
        <v>21</v>
      </c>
      <c r="B8" s="42" t="s">
        <v>119</v>
      </c>
      <c r="C8" s="19">
        <v>46100</v>
      </c>
      <c r="D8" s="43" t="s">
        <v>126</v>
      </c>
      <c r="E8" s="52" t="s">
        <v>157</v>
      </c>
      <c r="F8" s="54" t="s">
        <v>164</v>
      </c>
      <c r="G8" s="7" t="s">
        <v>107</v>
      </c>
      <c r="H8" s="2" t="s">
        <v>138</v>
      </c>
      <c r="I8" s="9" t="s">
        <v>96</v>
      </c>
      <c r="J8" s="9" t="s">
        <v>96</v>
      </c>
      <c r="K8" s="9">
        <v>40</v>
      </c>
      <c r="L8" s="42">
        <v>191</v>
      </c>
      <c r="M8" s="23">
        <v>5409</v>
      </c>
      <c r="N8" s="23" t="s">
        <v>90</v>
      </c>
      <c r="O8" s="23" t="s">
        <v>94</v>
      </c>
      <c r="Q8" s="41">
        <f t="shared" si="1"/>
        <v>3.9536000000000002E-2</v>
      </c>
      <c r="R8" s="23">
        <v>1.6E-2</v>
      </c>
      <c r="S8" s="41">
        <f t="shared" si="2"/>
        <v>3.95E-2</v>
      </c>
      <c r="T8" s="23">
        <v>1.6E-2</v>
      </c>
      <c r="U8" s="6">
        <v>2498838</v>
      </c>
      <c r="V8" s="45">
        <f t="shared" si="3"/>
        <v>98704</v>
      </c>
      <c r="W8" s="45">
        <f t="shared" si="0"/>
        <v>197408</v>
      </c>
      <c r="Y8" s="45">
        <v>0</v>
      </c>
      <c r="Z8" s="21"/>
      <c r="AA8" s="44">
        <v>0</v>
      </c>
      <c r="AB8" s="21"/>
      <c r="AC8" s="44">
        <v>0</v>
      </c>
      <c r="AD8" s="20">
        <f t="shared" si="4"/>
        <v>197408</v>
      </c>
      <c r="AE8" s="45">
        <f t="shared" si="5"/>
        <v>197408</v>
      </c>
      <c r="AF8" s="45">
        <f t="shared" si="6"/>
        <v>27713</v>
      </c>
      <c r="AG8" s="45">
        <f t="shared" si="7"/>
        <v>422529</v>
      </c>
      <c r="AH8" s="11"/>
      <c r="AL8" s="17"/>
    </row>
    <row r="9" spans="1:86" ht="30" x14ac:dyDescent="0.25">
      <c r="A9" s="7">
        <v>22</v>
      </c>
      <c r="B9" s="42" t="s">
        <v>119</v>
      </c>
      <c r="C9" s="19">
        <v>46100</v>
      </c>
      <c r="D9" s="43" t="s">
        <v>126</v>
      </c>
      <c r="E9" s="52" t="s">
        <v>158</v>
      </c>
      <c r="F9" s="54" t="s">
        <v>165</v>
      </c>
      <c r="G9" s="7" t="s">
        <v>107</v>
      </c>
      <c r="H9" s="2" t="s">
        <v>138</v>
      </c>
      <c r="I9" s="9" t="s">
        <v>96</v>
      </c>
      <c r="J9" s="9" t="s">
        <v>96</v>
      </c>
      <c r="K9" s="9">
        <v>40</v>
      </c>
      <c r="L9" s="42">
        <v>191</v>
      </c>
      <c r="M9" s="23">
        <v>5410</v>
      </c>
      <c r="N9" s="23" t="s">
        <v>90</v>
      </c>
      <c r="O9" s="23" t="s">
        <v>94</v>
      </c>
      <c r="Q9" s="41">
        <f t="shared" si="1"/>
        <v>4.9420000000000006E-2</v>
      </c>
      <c r="R9" s="23">
        <v>0.02</v>
      </c>
      <c r="S9" s="41">
        <f t="shared" si="2"/>
        <v>4.9399999999999999E-2</v>
      </c>
      <c r="T9" s="23">
        <v>0.02</v>
      </c>
      <c r="U9" s="6">
        <v>2498838</v>
      </c>
      <c r="V9" s="45">
        <f t="shared" si="3"/>
        <v>123443</v>
      </c>
      <c r="W9" s="45">
        <f t="shared" si="0"/>
        <v>246886</v>
      </c>
      <c r="Y9" s="45">
        <v>17364</v>
      </c>
      <c r="Z9" s="21"/>
      <c r="AA9" s="44">
        <v>0</v>
      </c>
      <c r="AB9" s="21"/>
      <c r="AC9" s="44">
        <v>0</v>
      </c>
      <c r="AD9" s="20">
        <f t="shared" si="4"/>
        <v>264250</v>
      </c>
      <c r="AE9" s="45">
        <f t="shared" si="5"/>
        <v>264250</v>
      </c>
      <c r="AF9" s="45">
        <f t="shared" si="6"/>
        <v>34659</v>
      </c>
      <c r="AG9" s="45">
        <f t="shared" si="7"/>
        <v>563159</v>
      </c>
      <c r="AH9" s="11"/>
      <c r="AL9" s="17"/>
    </row>
    <row r="10" spans="1:86" ht="45" customHeight="1" x14ac:dyDescent="0.25">
      <c r="A10" s="7">
        <v>30</v>
      </c>
      <c r="B10" s="42" t="s">
        <v>119</v>
      </c>
      <c r="C10" s="19">
        <v>46100</v>
      </c>
      <c r="D10" s="43" t="s">
        <v>126</v>
      </c>
      <c r="E10" s="52" t="s">
        <v>159</v>
      </c>
      <c r="F10" s="54" t="s">
        <v>162</v>
      </c>
      <c r="G10" s="7" t="s">
        <v>107</v>
      </c>
      <c r="H10" s="2" t="s">
        <v>138</v>
      </c>
      <c r="I10" s="9" t="s">
        <v>96</v>
      </c>
      <c r="J10" s="9" t="s">
        <v>96</v>
      </c>
      <c r="K10" s="9">
        <v>40</v>
      </c>
      <c r="L10" s="42">
        <v>191</v>
      </c>
      <c r="M10" s="23">
        <v>5425</v>
      </c>
      <c r="N10" s="23" t="s">
        <v>89</v>
      </c>
      <c r="O10" s="23" t="s">
        <v>94</v>
      </c>
      <c r="Q10" s="41">
        <f t="shared" si="1"/>
        <v>6.4245999999999998E-2</v>
      </c>
      <c r="R10" s="23">
        <v>2.5999999999999999E-2</v>
      </c>
      <c r="S10" s="41">
        <f t="shared" si="2"/>
        <v>6.4199999999999993E-2</v>
      </c>
      <c r="T10" s="23">
        <v>2.5999999999999999E-2</v>
      </c>
      <c r="U10" s="6">
        <v>2498838</v>
      </c>
      <c r="V10" s="45">
        <f t="shared" si="3"/>
        <v>160425</v>
      </c>
      <c r="W10" s="45">
        <f t="shared" si="0"/>
        <v>320850</v>
      </c>
      <c r="Y10" s="45">
        <v>62499</v>
      </c>
      <c r="Z10" s="21"/>
      <c r="AA10" s="44">
        <v>0</v>
      </c>
      <c r="AB10" s="21"/>
      <c r="AC10" s="44">
        <v>0</v>
      </c>
      <c r="AD10" s="20">
        <f t="shared" si="4"/>
        <v>383349</v>
      </c>
      <c r="AE10" s="45">
        <f t="shared" si="5"/>
        <v>383349</v>
      </c>
      <c r="AF10" s="45">
        <f t="shared" si="6"/>
        <v>45042</v>
      </c>
      <c r="AG10" s="45">
        <f t="shared" si="7"/>
        <v>811740</v>
      </c>
      <c r="AL10" s="17"/>
    </row>
    <row r="11" spans="1:86" ht="110.25" customHeight="1" x14ac:dyDescent="0.25">
      <c r="A11" s="7">
        <v>31</v>
      </c>
      <c r="B11" s="42" t="s">
        <v>119</v>
      </c>
      <c r="D11" s="43" t="s">
        <v>126</v>
      </c>
      <c r="E11" s="52" t="s">
        <v>160</v>
      </c>
      <c r="F11" s="54" t="s">
        <v>166</v>
      </c>
      <c r="G11" s="7" t="s">
        <v>107</v>
      </c>
      <c r="H11" s="2" t="s">
        <v>138</v>
      </c>
      <c r="I11" s="9" t="s">
        <v>96</v>
      </c>
      <c r="J11" s="9" t="s">
        <v>96</v>
      </c>
      <c r="K11" s="9">
        <v>40</v>
      </c>
      <c r="L11" s="42">
        <v>191</v>
      </c>
      <c r="M11" s="23">
        <v>5426</v>
      </c>
      <c r="N11" s="23" t="s">
        <v>89</v>
      </c>
      <c r="O11" s="23" t="s">
        <v>94</v>
      </c>
      <c r="P11" s="16"/>
      <c r="Q11" s="41">
        <f t="shared" si="1"/>
        <v>6.0539500000000003E-2</v>
      </c>
      <c r="R11" s="23">
        <v>2.4500000000000001E-2</v>
      </c>
      <c r="S11" s="41">
        <f t="shared" si="2"/>
        <v>6.0499999999999998E-2</v>
      </c>
      <c r="T11" s="23">
        <v>2.4500000000000001E-2</v>
      </c>
      <c r="U11" s="6">
        <v>2498838</v>
      </c>
      <c r="V11" s="45">
        <f t="shared" si="3"/>
        <v>151180</v>
      </c>
      <c r="W11" s="45">
        <f t="shared" si="0"/>
        <v>302360</v>
      </c>
      <c r="X11" s="16"/>
      <c r="Y11" s="45">
        <v>51631</v>
      </c>
      <c r="Z11" s="21"/>
      <c r="AA11" s="44">
        <v>0</v>
      </c>
      <c r="AB11" s="21"/>
      <c r="AC11" s="44">
        <v>0</v>
      </c>
      <c r="AD11" s="20">
        <f t="shared" si="4"/>
        <v>353991</v>
      </c>
      <c r="AE11" s="45">
        <f t="shared" si="5"/>
        <v>353991</v>
      </c>
      <c r="AF11" s="45">
        <f t="shared" si="6"/>
        <v>42446</v>
      </c>
      <c r="AG11" s="45">
        <f t="shared" si="7"/>
        <v>750428</v>
      </c>
    </row>
    <row r="12" spans="1:86" ht="45" x14ac:dyDescent="0.25">
      <c r="B12" s="42" t="s">
        <v>119</v>
      </c>
      <c r="D12" s="43" t="s">
        <v>126</v>
      </c>
      <c r="E12" s="52" t="s">
        <v>161</v>
      </c>
      <c r="F12" s="54" t="s">
        <v>167</v>
      </c>
      <c r="G12" s="7" t="s">
        <v>107</v>
      </c>
      <c r="H12" s="2" t="s">
        <v>138</v>
      </c>
      <c r="I12" s="9" t="s">
        <v>96</v>
      </c>
      <c r="J12" s="9" t="s">
        <v>96</v>
      </c>
      <c r="K12" s="9">
        <v>40</v>
      </c>
      <c r="L12" s="42">
        <v>191</v>
      </c>
      <c r="M12" s="23">
        <v>5427</v>
      </c>
      <c r="N12" s="23" t="s">
        <v>90</v>
      </c>
      <c r="O12" s="23" t="s">
        <v>94</v>
      </c>
      <c r="Q12" s="41">
        <f t="shared" si="1"/>
        <v>8.0307500000000004E-2</v>
      </c>
      <c r="R12" s="23">
        <v>3.2500000000000001E-2</v>
      </c>
      <c r="S12" s="41">
        <f t="shared" si="2"/>
        <v>8.0299999999999996E-2</v>
      </c>
      <c r="T12" s="23">
        <v>3.2500000000000001E-2</v>
      </c>
      <c r="U12" s="6">
        <v>2498838</v>
      </c>
      <c r="V12" s="45">
        <f t="shared" si="3"/>
        <v>200657</v>
      </c>
      <c r="W12" s="45">
        <f t="shared" si="0"/>
        <v>401314</v>
      </c>
      <c r="Y12" s="45">
        <v>56028</v>
      </c>
      <c r="AA12" s="44">
        <v>0</v>
      </c>
      <c r="AC12" s="44">
        <v>0</v>
      </c>
      <c r="AD12" s="20">
        <f t="shared" si="4"/>
        <v>457342</v>
      </c>
      <c r="AE12" s="45">
        <f t="shared" si="5"/>
        <v>457342</v>
      </c>
      <c r="AF12" s="45">
        <f t="shared" si="6"/>
        <v>56338</v>
      </c>
      <c r="AG12" s="45">
        <f t="shared" si="7"/>
        <v>971022</v>
      </c>
    </row>
    <row r="13" spans="1:86" ht="30" x14ac:dyDescent="0.25">
      <c r="B13" s="42" t="s">
        <v>120</v>
      </c>
      <c r="C13" s="29">
        <v>46100</v>
      </c>
      <c r="D13" s="43" t="s">
        <v>127</v>
      </c>
      <c r="E13" s="56" t="s">
        <v>169</v>
      </c>
      <c r="F13" s="27" t="s">
        <v>174</v>
      </c>
      <c r="G13" s="7" t="s">
        <v>101</v>
      </c>
      <c r="H13" s="2" t="s">
        <v>138</v>
      </c>
      <c r="I13" s="9" t="s">
        <v>96</v>
      </c>
      <c r="J13" s="9" t="s">
        <v>96</v>
      </c>
      <c r="K13" s="9">
        <v>40</v>
      </c>
      <c r="L13" s="42">
        <v>275</v>
      </c>
      <c r="M13" s="23">
        <v>5305</v>
      </c>
      <c r="N13" s="23" t="s">
        <v>89</v>
      </c>
      <c r="O13" s="23" t="s">
        <v>94</v>
      </c>
      <c r="Q13" s="41">
        <f t="shared" si="1"/>
        <v>0.25945499999999999</v>
      </c>
      <c r="R13" s="23">
        <v>0.105</v>
      </c>
      <c r="S13" s="41">
        <f t="shared" si="2"/>
        <v>0.25950000000000001</v>
      </c>
      <c r="T13" s="23">
        <v>0.105</v>
      </c>
      <c r="U13" s="6">
        <v>2498838</v>
      </c>
      <c r="V13" s="45">
        <f t="shared" si="3"/>
        <v>648448</v>
      </c>
      <c r="W13" s="45">
        <f t="shared" si="0"/>
        <v>1296896</v>
      </c>
      <c r="Y13" s="45">
        <v>342360</v>
      </c>
      <c r="AA13" s="44">
        <v>0</v>
      </c>
      <c r="AC13" s="44">
        <v>0</v>
      </c>
      <c r="AD13" s="20">
        <f t="shared" si="4"/>
        <v>1639256</v>
      </c>
      <c r="AE13" s="45">
        <f t="shared" si="5"/>
        <v>1639256</v>
      </c>
      <c r="AF13" s="45">
        <f t="shared" si="6"/>
        <v>182063</v>
      </c>
      <c r="AG13" s="45">
        <f t="shared" si="7"/>
        <v>3460575</v>
      </c>
      <c r="BG13" s="49" t="s">
        <v>168</v>
      </c>
    </row>
    <row r="14" spans="1:86" ht="45" x14ac:dyDescent="0.25">
      <c r="B14" s="42" t="s">
        <v>120</v>
      </c>
      <c r="C14" s="29">
        <v>46100</v>
      </c>
      <c r="D14" s="43" t="s">
        <v>127</v>
      </c>
      <c r="E14" s="56" t="s">
        <v>170</v>
      </c>
      <c r="F14" s="57" t="s">
        <v>175</v>
      </c>
      <c r="G14" s="7" t="s">
        <v>101</v>
      </c>
      <c r="H14" s="2" t="s">
        <v>138</v>
      </c>
      <c r="I14" s="9" t="s">
        <v>96</v>
      </c>
      <c r="J14" s="9" t="s">
        <v>96</v>
      </c>
      <c r="K14" s="9">
        <v>40</v>
      </c>
      <c r="L14" s="42">
        <v>275</v>
      </c>
      <c r="M14" s="23">
        <v>5306</v>
      </c>
      <c r="N14" s="23" t="s">
        <v>89</v>
      </c>
      <c r="O14" s="23" t="s">
        <v>94</v>
      </c>
      <c r="Q14" s="41">
        <f t="shared" si="1"/>
        <v>0.11984350000000001</v>
      </c>
      <c r="R14" s="23">
        <v>4.8500000000000001E-2</v>
      </c>
      <c r="S14" s="41">
        <f t="shared" si="2"/>
        <v>0.1198</v>
      </c>
      <c r="T14" s="23">
        <v>4.8500000000000001E-2</v>
      </c>
      <c r="U14" s="6">
        <v>2498838</v>
      </c>
      <c r="V14" s="45">
        <f t="shared" si="3"/>
        <v>299361</v>
      </c>
      <c r="W14" s="45">
        <f t="shared" si="0"/>
        <v>598722</v>
      </c>
      <c r="Y14" s="45">
        <v>171180</v>
      </c>
      <c r="AA14" s="44">
        <v>0</v>
      </c>
      <c r="AC14" s="44">
        <v>0</v>
      </c>
      <c r="AD14" s="20">
        <f t="shared" si="4"/>
        <v>769902</v>
      </c>
      <c r="AE14" s="45">
        <f t="shared" si="5"/>
        <v>769902</v>
      </c>
      <c r="AF14" s="45">
        <f t="shared" si="6"/>
        <v>84051</v>
      </c>
      <c r="AG14" s="45">
        <f t="shared" si="7"/>
        <v>1623855</v>
      </c>
    </row>
    <row r="15" spans="1:86" ht="30" x14ac:dyDescent="0.25">
      <c r="B15" s="42" t="s">
        <v>120</v>
      </c>
      <c r="C15" s="29">
        <v>46100</v>
      </c>
      <c r="D15" s="43" t="s">
        <v>127</v>
      </c>
      <c r="E15" s="56" t="s">
        <v>171</v>
      </c>
      <c r="F15" s="57" t="s">
        <v>176</v>
      </c>
      <c r="G15" s="7" t="s">
        <v>101</v>
      </c>
      <c r="H15" s="2" t="s">
        <v>138</v>
      </c>
      <c r="I15" s="9" t="s">
        <v>96</v>
      </c>
      <c r="J15" s="9" t="s">
        <v>96</v>
      </c>
      <c r="K15" s="9">
        <v>40</v>
      </c>
      <c r="L15" s="42">
        <v>275</v>
      </c>
      <c r="M15" s="23">
        <v>5307</v>
      </c>
      <c r="N15" s="23" t="s">
        <v>89</v>
      </c>
      <c r="O15" s="23" t="s">
        <v>94</v>
      </c>
      <c r="Q15" s="41">
        <f t="shared" si="1"/>
        <v>0.14826</v>
      </c>
      <c r="R15" s="23">
        <v>0.06</v>
      </c>
      <c r="S15" s="41">
        <f t="shared" si="2"/>
        <v>0.14829999999999999</v>
      </c>
      <c r="T15" s="23">
        <v>0.06</v>
      </c>
      <c r="U15" s="6">
        <v>2498838</v>
      </c>
      <c r="V15" s="45">
        <f t="shared" si="3"/>
        <v>370578</v>
      </c>
      <c r="W15" s="45">
        <f t="shared" si="0"/>
        <v>741156</v>
      </c>
      <c r="Y15" s="45">
        <v>228240</v>
      </c>
      <c r="AA15" s="44">
        <v>0</v>
      </c>
      <c r="AC15" s="44">
        <v>0</v>
      </c>
      <c r="AD15" s="20">
        <f t="shared" si="4"/>
        <v>969396</v>
      </c>
      <c r="AE15" s="45">
        <f t="shared" si="5"/>
        <v>969396</v>
      </c>
      <c r="AF15" s="45">
        <f t="shared" si="6"/>
        <v>104046</v>
      </c>
      <c r="AG15" s="45">
        <f t="shared" si="7"/>
        <v>2042838</v>
      </c>
    </row>
    <row r="16" spans="1:86" ht="30" x14ac:dyDescent="0.25">
      <c r="B16" s="42" t="s">
        <v>120</v>
      </c>
      <c r="C16" s="29">
        <v>46100</v>
      </c>
      <c r="D16" s="43" t="s">
        <v>127</v>
      </c>
      <c r="E16" s="56" t="s">
        <v>172</v>
      </c>
      <c r="F16" s="57" t="s">
        <v>177</v>
      </c>
      <c r="G16" s="7" t="s">
        <v>101</v>
      </c>
      <c r="H16" s="2" t="s">
        <v>138</v>
      </c>
      <c r="I16" s="9" t="s">
        <v>96</v>
      </c>
      <c r="J16" s="9" t="s">
        <v>96</v>
      </c>
      <c r="K16" s="9">
        <v>40</v>
      </c>
      <c r="L16" s="42">
        <v>275</v>
      </c>
      <c r="M16" s="23">
        <v>5308</v>
      </c>
      <c r="N16" s="23" t="s">
        <v>89</v>
      </c>
      <c r="O16" s="23" t="s">
        <v>94</v>
      </c>
      <c r="Q16" s="41">
        <f t="shared" si="1"/>
        <v>0.18038299999999999</v>
      </c>
      <c r="R16" s="23">
        <v>7.2999999999999995E-2</v>
      </c>
      <c r="S16" s="41">
        <f t="shared" si="2"/>
        <v>0.1804</v>
      </c>
      <c r="T16" s="23">
        <v>7.2999999999999995E-2</v>
      </c>
      <c r="U16" s="6">
        <v>2498838</v>
      </c>
      <c r="V16" s="45">
        <f t="shared" si="3"/>
        <v>450790</v>
      </c>
      <c r="W16" s="45">
        <f t="shared" si="0"/>
        <v>901580</v>
      </c>
      <c r="Y16" s="45">
        <v>304320</v>
      </c>
      <c r="AA16" s="44">
        <v>0</v>
      </c>
      <c r="AC16" s="44">
        <v>0</v>
      </c>
      <c r="AD16" s="20">
        <f t="shared" si="4"/>
        <v>1205900</v>
      </c>
      <c r="AE16" s="45">
        <f t="shared" si="5"/>
        <v>1205900</v>
      </c>
      <c r="AF16" s="45">
        <f t="shared" si="6"/>
        <v>126567</v>
      </c>
      <c r="AG16" s="45">
        <f t="shared" si="7"/>
        <v>2538367</v>
      </c>
    </row>
    <row r="17" spans="2:59" ht="30" x14ac:dyDescent="0.25">
      <c r="B17" s="42" t="s">
        <v>120</v>
      </c>
      <c r="C17" s="29">
        <v>46100</v>
      </c>
      <c r="D17" s="43" t="s">
        <v>127</v>
      </c>
      <c r="E17" s="56" t="s">
        <v>173</v>
      </c>
      <c r="F17" s="27" t="s">
        <v>178</v>
      </c>
      <c r="G17" s="7" t="s">
        <v>101</v>
      </c>
      <c r="H17" s="2" t="s">
        <v>138</v>
      </c>
      <c r="I17" s="9" t="s">
        <v>96</v>
      </c>
      <c r="J17" s="9" t="s">
        <v>96</v>
      </c>
      <c r="K17" s="9">
        <v>40</v>
      </c>
      <c r="L17" s="42">
        <v>275</v>
      </c>
      <c r="M17" s="23">
        <v>5309</v>
      </c>
      <c r="N17" s="23" t="s">
        <v>89</v>
      </c>
      <c r="O17" s="23" t="s">
        <v>94</v>
      </c>
      <c r="Q17" s="41">
        <f t="shared" si="1"/>
        <v>8.0307500000000004E-2</v>
      </c>
      <c r="R17" s="23">
        <v>3.2500000000000001E-2</v>
      </c>
      <c r="S17" s="41">
        <f t="shared" si="2"/>
        <v>8.0299999999999996E-2</v>
      </c>
      <c r="T17" s="23">
        <v>3.2500000000000001E-2</v>
      </c>
      <c r="U17" s="6">
        <v>2498838</v>
      </c>
      <c r="V17" s="45">
        <f t="shared" si="3"/>
        <v>200657</v>
      </c>
      <c r="W17" s="45">
        <f t="shared" si="0"/>
        <v>401314</v>
      </c>
      <c r="Y17" s="45">
        <v>143213</v>
      </c>
      <c r="AA17" s="44">
        <v>0</v>
      </c>
      <c r="AC17" s="44">
        <v>0</v>
      </c>
      <c r="AD17" s="20">
        <f t="shared" si="4"/>
        <v>544527</v>
      </c>
      <c r="AE17" s="45">
        <f t="shared" si="5"/>
        <v>544527</v>
      </c>
      <c r="AF17" s="45">
        <f t="shared" si="6"/>
        <v>56338</v>
      </c>
      <c r="AG17" s="45">
        <f t="shared" si="7"/>
        <v>1145392</v>
      </c>
    </row>
    <row r="18" spans="2:59" ht="15.75" x14ac:dyDescent="0.25">
      <c r="B18" s="23" t="s">
        <v>121</v>
      </c>
      <c r="D18" s="9" t="s">
        <v>128</v>
      </c>
      <c r="G18" s="7" t="s">
        <v>107</v>
      </c>
      <c r="H18" s="2" t="s">
        <v>138</v>
      </c>
      <c r="I18" s="9" t="s">
        <v>96</v>
      </c>
      <c r="J18" s="9" t="s">
        <v>96</v>
      </c>
      <c r="K18" s="9">
        <v>40</v>
      </c>
      <c r="L18" s="23" t="s">
        <v>132</v>
      </c>
      <c r="M18" s="23">
        <v>5102</v>
      </c>
      <c r="N18" s="23" t="s">
        <v>86</v>
      </c>
      <c r="O18" s="23" t="s">
        <v>93</v>
      </c>
      <c r="Q18" s="41">
        <f t="shared" si="1"/>
        <v>8.0307500000000004E-2</v>
      </c>
      <c r="R18" s="23">
        <v>3.2500000000000001E-2</v>
      </c>
      <c r="S18" s="41">
        <f t="shared" si="2"/>
        <v>8.0299999999999996E-2</v>
      </c>
      <c r="T18" s="23">
        <v>3.2500000000000001E-2</v>
      </c>
      <c r="U18" s="7">
        <v>2970000</v>
      </c>
      <c r="V18" s="45">
        <f t="shared" si="3"/>
        <v>238491</v>
      </c>
      <c r="W18" s="45">
        <f t="shared" si="0"/>
        <v>476982</v>
      </c>
      <c r="Y18" s="45">
        <v>74247</v>
      </c>
      <c r="AA18" s="44">
        <v>0</v>
      </c>
      <c r="AC18" s="44">
        <v>0</v>
      </c>
      <c r="AD18" s="20">
        <f t="shared" si="4"/>
        <v>551229</v>
      </c>
      <c r="AE18" s="45">
        <f t="shared" si="5"/>
        <v>551229</v>
      </c>
      <c r="AF18" s="45">
        <f t="shared" si="6"/>
        <v>66960</v>
      </c>
      <c r="AG18" s="45">
        <f t="shared" si="7"/>
        <v>1169418</v>
      </c>
    </row>
    <row r="19" spans="2:59" ht="15.75" x14ac:dyDescent="0.25">
      <c r="B19" s="23" t="s">
        <v>122</v>
      </c>
      <c r="D19" s="9" t="s">
        <v>129</v>
      </c>
      <c r="G19" s="7" t="s">
        <v>107</v>
      </c>
      <c r="H19" s="2" t="s">
        <v>138</v>
      </c>
      <c r="I19" s="9" t="s">
        <v>96</v>
      </c>
      <c r="J19" s="9" t="s">
        <v>96</v>
      </c>
      <c r="K19" s="9">
        <v>40</v>
      </c>
      <c r="L19" s="23" t="s">
        <v>133</v>
      </c>
      <c r="M19" s="23" t="s">
        <v>137</v>
      </c>
      <c r="N19" s="23" t="s">
        <v>86</v>
      </c>
      <c r="O19" s="23" t="s">
        <v>93</v>
      </c>
      <c r="Q19" s="41">
        <f t="shared" si="1"/>
        <v>8.0307500000000004E-2</v>
      </c>
      <c r="R19" s="23">
        <v>3.2500000000000001E-2</v>
      </c>
      <c r="S19" s="41">
        <f t="shared" si="2"/>
        <v>8.0299999999999996E-2</v>
      </c>
      <c r="T19" s="23">
        <v>3.2500000000000001E-2</v>
      </c>
      <c r="U19" s="7">
        <v>2970000</v>
      </c>
      <c r="V19" s="45">
        <f t="shared" si="3"/>
        <v>238491</v>
      </c>
      <c r="W19" s="45">
        <f t="shared" si="0"/>
        <v>476982</v>
      </c>
      <c r="Y19" s="45">
        <v>74247</v>
      </c>
      <c r="AA19" s="44">
        <v>0</v>
      </c>
      <c r="AC19" s="44">
        <v>0</v>
      </c>
      <c r="AD19" s="20">
        <f t="shared" si="4"/>
        <v>551229</v>
      </c>
      <c r="AE19" s="45">
        <f t="shared" si="5"/>
        <v>551229</v>
      </c>
      <c r="AF19" s="45">
        <f t="shared" si="6"/>
        <v>66960</v>
      </c>
      <c r="AG19" s="45">
        <f t="shared" si="7"/>
        <v>1169418</v>
      </c>
    </row>
    <row r="20" spans="2:59" ht="45" x14ac:dyDescent="0.25">
      <c r="B20" s="42" t="s">
        <v>123</v>
      </c>
      <c r="C20" s="29">
        <v>46100</v>
      </c>
      <c r="D20" s="42" t="s">
        <v>130</v>
      </c>
      <c r="E20" s="22" t="s">
        <v>139</v>
      </c>
      <c r="F20" s="27" t="s">
        <v>153</v>
      </c>
      <c r="G20" s="7" t="s">
        <v>101</v>
      </c>
      <c r="H20" s="2" t="s">
        <v>138</v>
      </c>
      <c r="I20" s="9" t="s">
        <v>96</v>
      </c>
      <c r="J20" s="9" t="s">
        <v>96</v>
      </c>
      <c r="K20" s="9">
        <v>40</v>
      </c>
      <c r="L20" s="42">
        <v>304</v>
      </c>
      <c r="M20" s="23">
        <v>5329</v>
      </c>
      <c r="N20" s="23" t="s">
        <v>91</v>
      </c>
      <c r="O20" s="23" t="s">
        <v>95</v>
      </c>
      <c r="Q20" s="41">
        <f t="shared" si="1"/>
        <v>0.38053399999999998</v>
      </c>
      <c r="R20" s="23">
        <v>0.154</v>
      </c>
      <c r="S20" s="41">
        <f t="shared" si="2"/>
        <v>0.3805</v>
      </c>
      <c r="T20" s="23">
        <v>0.154</v>
      </c>
      <c r="U20" s="6">
        <v>2536416</v>
      </c>
      <c r="V20" s="45">
        <f t="shared" si="3"/>
        <v>965106</v>
      </c>
      <c r="W20" s="45">
        <f t="shared" si="0"/>
        <v>1930212</v>
      </c>
      <c r="Y20" s="45">
        <v>83980</v>
      </c>
      <c r="AA20" s="44">
        <v>0</v>
      </c>
      <c r="AC20" s="44">
        <v>0</v>
      </c>
      <c r="AD20" s="20">
        <f t="shared" si="4"/>
        <v>2014192</v>
      </c>
      <c r="AE20" s="45">
        <f t="shared" si="5"/>
        <v>2014192</v>
      </c>
      <c r="AF20" s="45">
        <f t="shared" si="6"/>
        <v>270970</v>
      </c>
      <c r="AG20" s="45">
        <f t="shared" si="7"/>
        <v>4299354</v>
      </c>
      <c r="AL20" s="46" t="s">
        <v>143</v>
      </c>
      <c r="AM20" s="22" t="s">
        <v>145</v>
      </c>
      <c r="AN20" s="22" t="s">
        <v>146</v>
      </c>
      <c r="AO20" s="22" t="s">
        <v>141</v>
      </c>
      <c r="AP20" s="50" t="s">
        <v>151</v>
      </c>
      <c r="AQ20" s="50">
        <v>50</v>
      </c>
      <c r="AR20" s="7" t="s">
        <v>152</v>
      </c>
      <c r="BG20" s="25" t="s">
        <v>154</v>
      </c>
    </row>
    <row r="21" spans="2:59" ht="45" x14ac:dyDescent="0.25">
      <c r="B21" s="42" t="s">
        <v>123</v>
      </c>
      <c r="C21" s="29">
        <v>46100</v>
      </c>
      <c r="D21" s="42" t="s">
        <v>130</v>
      </c>
      <c r="E21" s="22" t="s">
        <v>139</v>
      </c>
      <c r="F21" s="27" t="s">
        <v>153</v>
      </c>
      <c r="G21" s="7" t="s">
        <v>101</v>
      </c>
      <c r="H21" s="2" t="s">
        <v>138</v>
      </c>
      <c r="I21" s="9" t="s">
        <v>96</v>
      </c>
      <c r="J21" s="9" t="s">
        <v>96</v>
      </c>
      <c r="K21" s="9">
        <v>40</v>
      </c>
      <c r="L21" s="42">
        <v>304</v>
      </c>
      <c r="M21" s="23">
        <v>5340</v>
      </c>
      <c r="N21" s="23" t="s">
        <v>92</v>
      </c>
      <c r="O21" s="23" t="s">
        <v>95</v>
      </c>
      <c r="Q21" s="41">
        <f t="shared" si="1"/>
        <v>0.1321985</v>
      </c>
      <c r="R21" s="23">
        <v>5.3499999999999999E-2</v>
      </c>
      <c r="S21" s="41">
        <f t="shared" si="2"/>
        <v>0.13220000000000001</v>
      </c>
      <c r="T21" s="23">
        <v>5.3499999999999999E-2</v>
      </c>
      <c r="U21" s="6">
        <v>2536416</v>
      </c>
      <c r="V21" s="45">
        <f t="shared" si="3"/>
        <v>335314</v>
      </c>
      <c r="W21" s="45">
        <f t="shared" si="0"/>
        <v>670628</v>
      </c>
      <c r="Y21" s="45">
        <v>4420</v>
      </c>
      <c r="AA21" s="44">
        <v>0</v>
      </c>
      <c r="AC21" s="44">
        <v>0</v>
      </c>
      <c r="AD21" s="20">
        <f t="shared" si="4"/>
        <v>675048</v>
      </c>
      <c r="AE21" s="45">
        <f t="shared" si="5"/>
        <v>675048</v>
      </c>
      <c r="AF21" s="45">
        <f t="shared" si="6"/>
        <v>94145</v>
      </c>
      <c r="AG21" s="45">
        <f t="shared" si="7"/>
        <v>1444241</v>
      </c>
      <c r="AL21" s="46" t="s">
        <v>143</v>
      </c>
      <c r="AM21" s="22" t="s">
        <v>145</v>
      </c>
      <c r="AN21" s="22" t="s">
        <v>146</v>
      </c>
      <c r="AO21" s="22" t="s">
        <v>141</v>
      </c>
      <c r="AP21" s="50" t="s">
        <v>151</v>
      </c>
      <c r="AQ21" s="50">
        <v>50</v>
      </c>
      <c r="AR21" s="7" t="s">
        <v>152</v>
      </c>
      <c r="BG21" s="25" t="s">
        <v>154</v>
      </c>
    </row>
    <row r="22" spans="2:59" ht="45" x14ac:dyDescent="0.25">
      <c r="B22" s="42" t="s">
        <v>123</v>
      </c>
      <c r="C22" s="29">
        <v>46100</v>
      </c>
      <c r="D22" s="42" t="s">
        <v>130</v>
      </c>
      <c r="E22" s="22" t="s">
        <v>139</v>
      </c>
      <c r="F22" s="27" t="s">
        <v>153</v>
      </c>
      <c r="G22" s="7" t="s">
        <v>101</v>
      </c>
      <c r="H22" s="2" t="s">
        <v>138</v>
      </c>
      <c r="I22" s="9" t="s">
        <v>96</v>
      </c>
      <c r="J22" s="9" t="s">
        <v>96</v>
      </c>
      <c r="K22" s="9">
        <v>40</v>
      </c>
      <c r="L22" s="42">
        <v>304</v>
      </c>
      <c r="M22" s="23">
        <v>5375</v>
      </c>
      <c r="N22" s="23" t="s">
        <v>92</v>
      </c>
      <c r="O22" s="23" t="s">
        <v>95</v>
      </c>
      <c r="Q22" s="41">
        <f t="shared" si="1"/>
        <v>0.18038299999999999</v>
      </c>
      <c r="R22" s="23">
        <v>7.2999999999999995E-2</v>
      </c>
      <c r="S22" s="41">
        <f t="shared" si="2"/>
        <v>0.1804</v>
      </c>
      <c r="T22" s="23">
        <v>7.2999999999999995E-2</v>
      </c>
      <c r="U22" s="6">
        <v>2536416</v>
      </c>
      <c r="V22" s="45">
        <f t="shared" si="3"/>
        <v>457569</v>
      </c>
      <c r="W22" s="45">
        <f t="shared" si="0"/>
        <v>915138</v>
      </c>
      <c r="Y22" s="45">
        <v>39780</v>
      </c>
      <c r="AA22" s="44">
        <v>0</v>
      </c>
      <c r="AC22" s="44">
        <v>0</v>
      </c>
      <c r="AD22" s="20">
        <f t="shared" si="4"/>
        <v>954918</v>
      </c>
      <c r="AE22" s="45">
        <f t="shared" si="5"/>
        <v>954918</v>
      </c>
      <c r="AF22" s="45">
        <f t="shared" si="6"/>
        <v>128470</v>
      </c>
      <c r="AG22" s="45">
        <f t="shared" si="7"/>
        <v>2038306</v>
      </c>
      <c r="AL22" s="46" t="s">
        <v>143</v>
      </c>
      <c r="AM22" s="22" t="s">
        <v>145</v>
      </c>
      <c r="AN22" s="22" t="s">
        <v>146</v>
      </c>
      <c r="AO22" s="22" t="s">
        <v>141</v>
      </c>
      <c r="AP22" s="50" t="s">
        <v>151</v>
      </c>
      <c r="AQ22" s="50">
        <v>50</v>
      </c>
      <c r="AR22" s="7" t="s">
        <v>152</v>
      </c>
      <c r="BG22" s="25" t="s">
        <v>154</v>
      </c>
    </row>
    <row r="23" spans="2:59" ht="47.25" x14ac:dyDescent="0.25">
      <c r="B23" s="23" t="s">
        <v>124</v>
      </c>
      <c r="C23" s="37">
        <v>46100</v>
      </c>
      <c r="D23" s="16" t="s">
        <v>131</v>
      </c>
      <c r="E23" s="38" t="s">
        <v>140</v>
      </c>
      <c r="F23" s="47" t="s">
        <v>148</v>
      </c>
      <c r="G23" s="7" t="s">
        <v>107</v>
      </c>
      <c r="H23" s="2" t="s">
        <v>138</v>
      </c>
      <c r="I23" s="9" t="s">
        <v>96</v>
      </c>
      <c r="J23" s="9" t="s">
        <v>96</v>
      </c>
      <c r="K23" s="9">
        <v>40</v>
      </c>
      <c r="L23" s="55">
        <v>107</v>
      </c>
      <c r="M23" s="23">
        <v>5360</v>
      </c>
      <c r="N23" s="23" t="s">
        <v>91</v>
      </c>
      <c r="O23" s="23" t="s">
        <v>95</v>
      </c>
      <c r="Q23" s="41">
        <f t="shared" si="1"/>
        <v>0.31999450000000002</v>
      </c>
      <c r="R23" s="23">
        <v>0.1295</v>
      </c>
      <c r="S23" s="41">
        <f t="shared" si="2"/>
        <v>0.32</v>
      </c>
      <c r="T23" s="23">
        <v>0.1295</v>
      </c>
      <c r="U23" s="6">
        <v>2536416</v>
      </c>
      <c r="V23" s="45">
        <f t="shared" si="3"/>
        <v>811653</v>
      </c>
      <c r="W23" s="45">
        <f t="shared" si="0"/>
        <v>1623306</v>
      </c>
      <c r="Y23" s="45">
        <v>0</v>
      </c>
      <c r="AA23" s="44">
        <v>0</v>
      </c>
      <c r="AC23" s="44">
        <v>0</v>
      </c>
      <c r="AD23" s="20">
        <f t="shared" si="4"/>
        <v>1623306</v>
      </c>
      <c r="AE23" s="45">
        <f t="shared" si="5"/>
        <v>1623306</v>
      </c>
      <c r="AF23" s="45">
        <f t="shared" si="6"/>
        <v>227885</v>
      </c>
      <c r="AG23" s="45">
        <f t="shared" si="7"/>
        <v>3474497</v>
      </c>
      <c r="AL23" s="46" t="s">
        <v>144</v>
      </c>
      <c r="AM23" s="22" t="s">
        <v>97</v>
      </c>
      <c r="AN23" s="22" t="s">
        <v>147</v>
      </c>
      <c r="AO23" s="22" t="s">
        <v>142</v>
      </c>
      <c r="AP23" s="25" t="s">
        <v>150</v>
      </c>
      <c r="AQ23" s="48">
        <v>56</v>
      </c>
      <c r="AR23" s="26" t="s">
        <v>98</v>
      </c>
      <c r="BG23" s="49" t="s">
        <v>149</v>
      </c>
    </row>
    <row r="24" spans="2:59" ht="15.75" x14ac:dyDescent="0.25">
      <c r="S24" s="41">
        <f t="shared" si="1"/>
        <v>0</v>
      </c>
    </row>
  </sheetData>
  <phoneticPr fontId="3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mahesh BNB</cp:lastModifiedBy>
  <cp:revision/>
  <dcterms:created xsi:type="dcterms:W3CDTF">2025-10-17T11:48:31Z</dcterms:created>
  <dcterms:modified xsi:type="dcterms:W3CDTF">2026-04-03T10:17:58Z</dcterms:modified>
  <cp:category/>
  <cp:contentStatus/>
</cp:coreProperties>
</file>