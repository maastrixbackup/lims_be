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DB1917-B5EF-4B99-A5F9-586A8989B0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3" l="1"/>
  <c r="S4" i="3"/>
  <c r="U5" i="3"/>
  <c r="AK5" i="3" l="1"/>
  <c r="AK4" i="3"/>
  <c r="AJ5" i="3"/>
  <c r="AJ4" i="3"/>
  <c r="AG5" i="3"/>
  <c r="AG4" i="3"/>
  <c r="U2" i="3"/>
  <c r="AF3" i="3" l="1"/>
  <c r="AF2" i="3"/>
  <c r="AG3" i="3" l="1"/>
  <c r="AJ3" i="3" s="1"/>
  <c r="AK3" i="3" s="1"/>
  <c r="AG2" i="3"/>
  <c r="AJ2" i="3" s="1"/>
  <c r="AK2" i="3" s="1"/>
</calcChain>
</file>

<file path=xl/sharedStrings.xml><?xml version="1.0" encoding="utf-8"?>
<sst xmlns="http://schemas.openxmlformats.org/spreadsheetml/2006/main" count="285" uniqueCount="155">
  <si>
    <t>chhendipada</t>
  </si>
  <si>
    <t>32510839073</t>
  </si>
  <si>
    <t>State Bank of India</t>
  </si>
  <si>
    <t>SBIN0002042</t>
  </si>
  <si>
    <t>4088 8314 0796</t>
  </si>
  <si>
    <t>FXOPM9594R</t>
  </si>
  <si>
    <t>married</t>
  </si>
  <si>
    <t>no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</si>
  <si>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</si>
  <si>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</si>
  <si>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</si>
  <si>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</si>
  <si>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</si>
  <si>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</si>
  <si>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</si>
  <si>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</si>
  <si>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</si>
  <si>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</si>
  <si>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</si>
  <si>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</si>
  <si>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</si>
  <si>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</si>
  <si>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</si>
  <si>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</si>
  <si>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</si>
  <si>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</t>
  </si>
  <si>
    <t>Angul</t>
  </si>
  <si>
    <t>No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</si>
  <si>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</si>
  <si>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</si>
  <si>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</si>
  <si>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</si>
  <si>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</si>
  <si>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</si>
  <si>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</si>
  <si>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</si>
  <si>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</si>
  <si>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</si>
  <si>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</si>
  <si>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</si>
  <si>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</si>
  <si>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</si>
  <si>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</si>
  <si>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</si>
  <si>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</si>
  <si>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</si>
  <si>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</si>
  <si>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</si>
  <si>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</si>
  <si>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</si>
  <si>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</si>
  <si>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</si>
  <si>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</si>
  <si>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</si>
  <si>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</si>
  <si>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</si>
  <si>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</si>
  <si>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</si>
  <si>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</si>
  <si>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</si>
  <si>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</si>
  <si>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</si>
  <si>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</si>
  <si>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</si>
  <si>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</si>
  <si>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</si>
  <si>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</si>
  <si>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</si>
  <si>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</si>
  <si>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</si>
  <si>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</si>
  <si>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</si>
  <si>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</si>
  <si>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</si>
  <si>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</si>
  <si>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</si>
  <si>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</si>
  <si>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</si>
  <si>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</si>
  <si>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</si>
  <si>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</si>
  <si>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</si>
  <si>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</si>
  <si>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</si>
  <si>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</si>
  <si>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</si>
  <si>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</si>
  <si>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</si>
  <si>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</si>
  <si>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</si>
  <si>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</si>
  <si>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</si>
  <si>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</si>
  <si>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</si>
  <si>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</si>
  <si>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</si>
  <si>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</si>
  <si>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</si>
  <si>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</si>
  <si>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</si>
  <si>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</si>
  <si>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</si>
  <si>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</si>
  <si>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</si>
  <si>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</si>
  <si>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</si>
  <si>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</si>
  <si>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</si>
  <si>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</si>
  <si>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</si>
  <si>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</si>
  <si>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</si>
  <si>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</si>
  <si>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</si>
  <si>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</si>
  <si>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</si>
  <si>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LA00</t>
  </si>
  <si>
    <t>Machhakuta</t>
  </si>
  <si>
    <t>Manas Behera</t>
  </si>
  <si>
    <t>Manas Behera, Bikash Behera, Sujit Sethy</t>
  </si>
  <si>
    <t>527/327</t>
  </si>
  <si>
    <t>E-LHC/2024/2269534</t>
  </si>
  <si>
    <t>GMDC/tnt/0319</t>
  </si>
  <si>
    <t>plumber</t>
  </si>
  <si>
    <t>Machhakuta Jungle</t>
  </si>
  <si>
    <t>Part</t>
  </si>
  <si>
    <t>SAJS II</t>
  </si>
  <si>
    <t>II</t>
  </si>
  <si>
    <t>Benudhar Sahu, Duryodhan Sahu, Sita Sahu, Ukali Sahu, Muga Sahu</t>
  </si>
  <si>
    <t>PAF</t>
  </si>
  <si>
    <t>Taila</t>
  </si>
  <si>
    <t>III</t>
  </si>
  <si>
    <t>11598469989</t>
  </si>
  <si>
    <t>6894 4406 9762</t>
  </si>
  <si>
    <t xml:space="preserve"> CJAPM7002H</t>
  </si>
  <si>
    <t>Chasa</t>
  </si>
  <si>
    <t>matric</t>
  </si>
  <si>
    <t>house wife</t>
  </si>
  <si>
    <t>parental address recognition</t>
  </si>
  <si>
    <t>E-LHC/2024/226926</t>
  </si>
  <si>
    <t>GMDC/HDG/0333</t>
  </si>
  <si>
    <t>partition suit</t>
  </si>
  <si>
    <t>pending</t>
  </si>
  <si>
    <t>legal action</t>
  </si>
  <si>
    <t>legal</t>
  </si>
  <si>
    <t>Yes</t>
  </si>
  <si>
    <t>road construction</t>
  </si>
  <si>
    <t>critical public purpose</t>
  </si>
  <si>
    <t xml:space="preserve">for the necessity of project land is being more </t>
  </si>
  <si>
    <t xml:space="preserve">Benudhar Sahu,Duryodhan Sahu,Bharati Dehury,Jayanta Majhi </t>
  </si>
  <si>
    <t>Machhakuta, PO-Machhakuta, PS- Chhendipada, Dist- Angul, 759124</t>
  </si>
  <si>
    <t>11598445437</t>
  </si>
  <si>
    <t xml:space="preserve">Chhendipada </t>
  </si>
  <si>
    <t>Mali</t>
  </si>
  <si>
    <t>GMDC/HDG/0319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</si>
</sst>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6" formatCode="#,##0.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2" fontId="3" fillId="0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14" fontId="0" fillId="0" borderId="1" xfId="0" applyNumberFormat="1" applyBorder="1"/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47"/>
  <sheetViews>
    <sheetView tabSelected="1" workbookViewId="0">
      <selection activeCell="CK5" sqref="CK5"/>
    </sheetView>
  </sheetViews>
  <sheetFormatPr defaultRowHeight="15" x14ac:dyDescent="0.25"/>
  <cols>
    <col min="1" max="1" width="19.7109375" style="8" customWidth="1"/>
    <col min="2" max="2" width="17.42578125" customWidth="1"/>
    <col min="3" max="3" width="19.5703125" customWidth="1"/>
    <col min="7" max="7" width="15" customWidth="1"/>
    <col min="9" max="9" width="13.85546875" customWidth="1"/>
    <col min="14" max="14" width="16" bestFit="1" customWidth="1"/>
    <col min="21" max="21" width="9.5703125" bestFit="1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5" max="35" width="9.5703125" bestFit="1" customWidth="1"/>
    <col min="36" max="36" width="14.7109375" customWidth="1"/>
    <col min="37" max="37" width="17.85546875" customWidth="1"/>
    <col min="39" max="39" width="13.140625" customWidth="1"/>
    <col min="40" max="40" width="16.42578125" customWidth="1"/>
    <col min="41" max="41" width="15.42578125" customWidth="1"/>
    <col min="44" max="44" width="13.28515625" customWidth="1"/>
    <col min="45" max="45" width="14.85546875" customWidth="1"/>
    <col min="50" max="50" width="13.140625" customWidth="1"/>
    <col min="62" max="62" width="18.710937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6" t="s">
        <v>116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49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29</v>
      </c>
      <c r="R1" s="1" t="s">
        <v>30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28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" t="s">
        <v>81</v>
      </c>
      <c r="AX1" s="1" t="s">
        <v>82</v>
      </c>
      <c r="AY1" s="1" t="s">
        <v>83</v>
      </c>
      <c r="AZ1" s="1" t="s">
        <v>84</v>
      </c>
      <c r="BA1" s="1" t="s">
        <v>43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44</v>
      </c>
      <c r="BZ1" s="1" t="s">
        <v>45</v>
      </c>
      <c r="CA1" s="1" t="s">
        <v>46</v>
      </c>
      <c r="CB1" s="1" t="s">
        <v>47</v>
      </c>
      <c r="CC1" s="1" t="s">
        <v>48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</row>
    <row r="2" spans="1:89" ht="150" x14ac:dyDescent="0.25">
      <c r="A2" s="2"/>
      <c r="B2" s="13" t="s">
        <v>118</v>
      </c>
      <c r="C2" s="14" t="s">
        <v>119</v>
      </c>
      <c r="D2" s="4" t="s">
        <v>9</v>
      </c>
      <c r="E2" s="3" t="s">
        <v>17</v>
      </c>
      <c r="F2" s="3">
        <v>1</v>
      </c>
      <c r="G2" s="9">
        <v>46100</v>
      </c>
      <c r="H2" s="3" t="s">
        <v>26</v>
      </c>
      <c r="I2" s="19" t="s">
        <v>124</v>
      </c>
      <c r="J2" s="3" t="s">
        <v>0</v>
      </c>
      <c r="K2" s="3" t="s">
        <v>0</v>
      </c>
      <c r="L2" s="3">
        <v>41</v>
      </c>
      <c r="M2" s="13" t="s">
        <v>120</v>
      </c>
      <c r="N2" s="5">
        <v>3255</v>
      </c>
      <c r="O2" s="3" t="s">
        <v>126</v>
      </c>
      <c r="P2" s="3" t="s">
        <v>127</v>
      </c>
      <c r="Q2" s="15" t="s">
        <v>24</v>
      </c>
      <c r="R2" s="3" t="s">
        <v>125</v>
      </c>
      <c r="S2" s="10">
        <v>4.3999999999999997E-2</v>
      </c>
      <c r="T2" s="10">
        <v>1.7999999999999999E-2</v>
      </c>
      <c r="U2" s="10">
        <f t="shared" ref="U2" si="0">ROUND(T2*2.471054,4)</f>
        <v>4.4499999999999998E-2</v>
      </c>
      <c r="V2" s="10">
        <v>0.1351</v>
      </c>
      <c r="W2" s="11">
        <v>2536416</v>
      </c>
      <c r="X2" s="11">
        <v>846656</v>
      </c>
      <c r="Y2" s="11">
        <v>1693312</v>
      </c>
      <c r="Z2" s="3">
        <v>0</v>
      </c>
      <c r="AA2" s="12">
        <v>0</v>
      </c>
      <c r="AB2" s="3">
        <v>0</v>
      </c>
      <c r="AC2" s="12">
        <v>0</v>
      </c>
      <c r="AD2" s="3">
        <v>0</v>
      </c>
      <c r="AE2" s="12">
        <v>0</v>
      </c>
      <c r="AF2" s="12">
        <f>Y2+AA2+AC2+AE2</f>
        <v>1693312</v>
      </c>
      <c r="AG2" s="12">
        <f>AF2</f>
        <v>1693312</v>
      </c>
      <c r="AH2" s="12">
        <v>0</v>
      </c>
      <c r="AI2" s="12">
        <v>237713</v>
      </c>
      <c r="AJ2" s="12">
        <f>AF2+AG2+AI2</f>
        <v>3624337</v>
      </c>
      <c r="AK2" s="12">
        <f>AJ2</f>
        <v>3624337</v>
      </c>
      <c r="AL2" s="4" t="s">
        <v>21</v>
      </c>
      <c r="AM2" s="4" t="s">
        <v>22</v>
      </c>
      <c r="AN2" s="4" t="s">
        <v>23</v>
      </c>
      <c r="AO2" s="7" t="s">
        <v>1</v>
      </c>
      <c r="AP2" s="2" t="s">
        <v>2</v>
      </c>
      <c r="AQ2" s="2" t="s">
        <v>3</v>
      </c>
      <c r="AR2" s="2" t="s">
        <v>4</v>
      </c>
      <c r="AS2" s="4" t="s">
        <v>5</v>
      </c>
      <c r="AT2" s="3">
        <v>36</v>
      </c>
      <c r="AU2" s="3" t="s">
        <v>8</v>
      </c>
      <c r="AV2" s="3" t="s">
        <v>6</v>
      </c>
      <c r="AW2" s="3" t="s">
        <v>16</v>
      </c>
      <c r="AX2" s="3" t="s">
        <v>15</v>
      </c>
      <c r="AY2" s="3">
        <v>130000</v>
      </c>
      <c r="AZ2" s="3" t="s">
        <v>123</v>
      </c>
      <c r="BA2" s="3" t="s">
        <v>18</v>
      </c>
      <c r="BB2" s="3">
        <v>1</v>
      </c>
      <c r="BC2" s="3">
        <v>1</v>
      </c>
      <c r="BD2" s="3">
        <v>1</v>
      </c>
      <c r="BE2" s="3">
        <v>2</v>
      </c>
      <c r="BF2" s="3">
        <v>0</v>
      </c>
      <c r="BG2" s="3">
        <v>0</v>
      </c>
      <c r="BH2" s="3">
        <v>1</v>
      </c>
      <c r="BI2" s="3" t="s">
        <v>27</v>
      </c>
      <c r="BJ2" s="5" t="s">
        <v>121</v>
      </c>
      <c r="BK2" s="4" t="s">
        <v>122</v>
      </c>
      <c r="BL2" s="9">
        <v>46025</v>
      </c>
      <c r="BM2" s="3" t="s">
        <v>10</v>
      </c>
      <c r="BN2" s="3" t="s">
        <v>11</v>
      </c>
      <c r="BO2" s="3" t="s">
        <v>19</v>
      </c>
      <c r="BP2" s="3" t="s">
        <v>12</v>
      </c>
      <c r="BQ2" s="3" t="s">
        <v>7</v>
      </c>
      <c r="BR2" s="3" t="s">
        <v>7</v>
      </c>
      <c r="BS2" s="3" t="s">
        <v>7</v>
      </c>
      <c r="BT2" s="3" t="s">
        <v>7</v>
      </c>
      <c r="BU2" s="3" t="s">
        <v>7</v>
      </c>
      <c r="BV2" s="3" t="s">
        <v>7</v>
      </c>
      <c r="BW2" s="3" t="s">
        <v>7</v>
      </c>
      <c r="BX2" s="3" t="s">
        <v>7</v>
      </c>
      <c r="BY2" s="3" t="s">
        <v>7</v>
      </c>
      <c r="BZ2" s="3" t="s">
        <v>7</v>
      </c>
      <c r="CA2" s="3" t="s">
        <v>7</v>
      </c>
      <c r="CB2" s="3" t="s">
        <v>7</v>
      </c>
      <c r="CC2" s="3" t="s">
        <v>7</v>
      </c>
      <c r="CD2" s="16" t="s">
        <v>13</v>
      </c>
      <c r="CE2" s="9">
        <v>46145</v>
      </c>
      <c r="CF2" s="3" t="s">
        <v>14</v>
      </c>
      <c r="CG2" s="3" t="s">
        <v>11</v>
      </c>
      <c r="CH2" s="3" t="s">
        <v>20</v>
      </c>
      <c r="CI2" s="3" t="s">
        <v>27</v>
      </c>
      <c r="CJ2" s="9"/>
      <c r="CK2" s="17">
        <v>0</v>
      </c>
    </row>
    <row r="3" spans="1:89" ht="150" x14ac:dyDescent="0.25">
      <c r="A3" s="18"/>
      <c r="B3" s="13" t="s">
        <v>118</v>
      </c>
      <c r="C3" s="14" t="s">
        <v>119</v>
      </c>
      <c r="D3" s="4" t="s">
        <v>9</v>
      </c>
      <c r="E3" s="3" t="s">
        <v>17</v>
      </c>
      <c r="F3" s="3">
        <v>2</v>
      </c>
      <c r="G3" s="9">
        <v>46100</v>
      </c>
      <c r="H3" s="3" t="s">
        <v>26</v>
      </c>
      <c r="I3" s="19" t="s">
        <v>124</v>
      </c>
      <c r="J3" s="3" t="s">
        <v>0</v>
      </c>
      <c r="K3" s="3" t="s">
        <v>0</v>
      </c>
      <c r="L3" s="3">
        <v>41</v>
      </c>
      <c r="M3" s="13" t="s">
        <v>120</v>
      </c>
      <c r="N3" s="20">
        <v>3176</v>
      </c>
      <c r="O3" s="3" t="s">
        <v>126</v>
      </c>
      <c r="P3" s="3" t="s">
        <v>127</v>
      </c>
      <c r="Q3" s="15" t="s">
        <v>24</v>
      </c>
      <c r="R3" s="3" t="s">
        <v>25</v>
      </c>
      <c r="S3" s="10">
        <v>4.3999999999999997E-2</v>
      </c>
      <c r="T3" s="10">
        <v>1.7999999999999999E-2</v>
      </c>
      <c r="U3" s="10">
        <v>0.12970000000000001</v>
      </c>
      <c r="V3" s="10">
        <v>5.2499999999999998E-2</v>
      </c>
      <c r="W3" s="11">
        <v>2536416</v>
      </c>
      <c r="X3" s="11">
        <v>328973</v>
      </c>
      <c r="Y3" s="11">
        <v>657946</v>
      </c>
      <c r="Z3" s="3">
        <v>0</v>
      </c>
      <c r="AA3" s="12">
        <v>0</v>
      </c>
      <c r="AB3" s="3">
        <v>0</v>
      </c>
      <c r="AC3" s="12">
        <v>0</v>
      </c>
      <c r="AD3" s="3">
        <v>0</v>
      </c>
      <c r="AE3" s="12">
        <v>0</v>
      </c>
      <c r="AF3" s="12">
        <f>Y3+AA3+AC3+AE3</f>
        <v>657946</v>
      </c>
      <c r="AG3" s="12">
        <f>AF3</f>
        <v>657946</v>
      </c>
      <c r="AH3" s="12">
        <v>0</v>
      </c>
      <c r="AI3" s="12">
        <v>92365</v>
      </c>
      <c r="AJ3" s="12">
        <f>AF3+AG3+AI3</f>
        <v>1408257</v>
      </c>
      <c r="AK3" s="12">
        <f>AJ3</f>
        <v>1408257</v>
      </c>
      <c r="AL3" s="4" t="s">
        <v>21</v>
      </c>
      <c r="AM3" s="4" t="s">
        <v>22</v>
      </c>
      <c r="AN3" s="4" t="s">
        <v>23</v>
      </c>
      <c r="AO3" s="7" t="s">
        <v>1</v>
      </c>
      <c r="AP3" s="2" t="s">
        <v>2</v>
      </c>
      <c r="AQ3" s="2" t="s">
        <v>3</v>
      </c>
      <c r="AR3" s="2" t="s">
        <v>4</v>
      </c>
      <c r="AS3" s="4" t="s">
        <v>5</v>
      </c>
      <c r="AT3" s="3">
        <v>36</v>
      </c>
      <c r="AU3" s="3" t="s">
        <v>8</v>
      </c>
      <c r="AV3" s="3" t="s">
        <v>6</v>
      </c>
      <c r="AW3" s="3" t="s">
        <v>16</v>
      </c>
      <c r="AX3" s="3" t="s">
        <v>15</v>
      </c>
      <c r="AY3" s="3">
        <v>130000</v>
      </c>
      <c r="AZ3" s="3" t="s">
        <v>123</v>
      </c>
      <c r="BA3" s="3" t="s">
        <v>18</v>
      </c>
      <c r="BB3" s="3">
        <v>1</v>
      </c>
      <c r="BC3" s="3">
        <v>1</v>
      </c>
      <c r="BD3" s="3">
        <v>1</v>
      </c>
      <c r="BE3" s="3">
        <v>2</v>
      </c>
      <c r="BF3" s="3">
        <v>0</v>
      </c>
      <c r="BG3" s="3">
        <v>0</v>
      </c>
      <c r="BH3" s="3">
        <v>1</v>
      </c>
      <c r="BI3" s="3" t="s">
        <v>27</v>
      </c>
      <c r="BJ3" s="5" t="s">
        <v>121</v>
      </c>
      <c r="BK3" s="4" t="s">
        <v>122</v>
      </c>
      <c r="BL3" s="9">
        <v>46025</v>
      </c>
      <c r="BM3" s="3" t="s">
        <v>10</v>
      </c>
      <c r="BN3" s="3" t="s">
        <v>11</v>
      </c>
      <c r="BO3" s="3" t="s">
        <v>19</v>
      </c>
      <c r="BP3" s="3" t="s">
        <v>12</v>
      </c>
      <c r="BQ3" s="3" t="s">
        <v>7</v>
      </c>
      <c r="BR3" s="3" t="s">
        <v>7</v>
      </c>
      <c r="BS3" s="3" t="s">
        <v>7</v>
      </c>
      <c r="BT3" s="3" t="s">
        <v>7</v>
      </c>
      <c r="BU3" s="3" t="s">
        <v>7</v>
      </c>
      <c r="BV3" s="3" t="s">
        <v>7</v>
      </c>
      <c r="BW3" s="3" t="s">
        <v>7</v>
      </c>
      <c r="BX3" s="3" t="s">
        <v>7</v>
      </c>
      <c r="BY3" s="3" t="s">
        <v>7</v>
      </c>
      <c r="BZ3" s="3" t="s">
        <v>7</v>
      </c>
      <c r="CA3" s="3" t="s">
        <v>7</v>
      </c>
      <c r="CB3" s="3" t="s">
        <v>7</v>
      </c>
      <c r="CC3" s="3" t="s">
        <v>7</v>
      </c>
      <c r="CD3" s="16" t="s">
        <v>13</v>
      </c>
      <c r="CE3" s="9">
        <v>46145</v>
      </c>
      <c r="CF3" s="3" t="s">
        <v>14</v>
      </c>
      <c r="CG3" s="3" t="s">
        <v>11</v>
      </c>
      <c r="CH3" s="3" t="s">
        <v>20</v>
      </c>
      <c r="CI3" s="3" t="s">
        <v>12</v>
      </c>
      <c r="CJ3" s="9">
        <v>46056</v>
      </c>
      <c r="CK3" s="17">
        <v>20000</v>
      </c>
    </row>
    <row r="4" spans="1:89" ht="85.5" customHeight="1" x14ac:dyDescent="0.25">
      <c r="A4" s="3"/>
      <c r="B4" s="4" t="s">
        <v>128</v>
      </c>
      <c r="C4" s="4" t="s">
        <v>149</v>
      </c>
      <c r="D4" s="26" t="s">
        <v>150</v>
      </c>
      <c r="E4" s="3" t="s">
        <v>129</v>
      </c>
      <c r="F4" s="3">
        <v>3</v>
      </c>
      <c r="G4" s="9">
        <v>46100</v>
      </c>
      <c r="H4" s="3" t="s">
        <v>26</v>
      </c>
      <c r="I4" s="3" t="s">
        <v>117</v>
      </c>
      <c r="J4" s="3" t="s">
        <v>0</v>
      </c>
      <c r="K4" s="3" t="s">
        <v>0</v>
      </c>
      <c r="L4" s="3">
        <v>40</v>
      </c>
      <c r="M4" s="3">
        <v>275</v>
      </c>
      <c r="N4" s="3">
        <v>5269</v>
      </c>
      <c r="O4" s="3" t="s">
        <v>130</v>
      </c>
      <c r="P4" s="3" t="s">
        <v>131</v>
      </c>
      <c r="Q4" s="15" t="s">
        <v>148</v>
      </c>
      <c r="R4" s="3" t="s">
        <v>125</v>
      </c>
      <c r="S4" s="3">
        <f>T4/2.47105</f>
        <v>0.11574027235385767</v>
      </c>
      <c r="T4" s="10">
        <v>0.28599999999999998</v>
      </c>
      <c r="U4" s="10">
        <v>0.2432</v>
      </c>
      <c r="V4" s="10">
        <v>9.8400000000000001E-2</v>
      </c>
      <c r="W4" s="3">
        <v>2498838</v>
      </c>
      <c r="X4" s="3">
        <v>607717</v>
      </c>
      <c r="Y4" s="3">
        <v>1215434</v>
      </c>
      <c r="Z4" s="3">
        <v>11</v>
      </c>
      <c r="AA4" s="3">
        <v>337350</v>
      </c>
      <c r="AB4" s="3">
        <v>0</v>
      </c>
      <c r="AC4" s="3">
        <v>0</v>
      </c>
      <c r="AD4" s="3">
        <v>0</v>
      </c>
      <c r="AE4" s="3">
        <v>0</v>
      </c>
      <c r="AF4" s="3">
        <v>1552784</v>
      </c>
      <c r="AG4" s="12">
        <f>AF4</f>
        <v>1552784</v>
      </c>
      <c r="AH4" s="3">
        <v>0</v>
      </c>
      <c r="AI4" s="3">
        <v>170627</v>
      </c>
      <c r="AJ4" s="12">
        <f>AF4+AG4+AI4</f>
        <v>3276195</v>
      </c>
      <c r="AK4" s="12">
        <f>AJ4</f>
        <v>3276195</v>
      </c>
      <c r="AL4" s="4" t="s">
        <v>147</v>
      </c>
      <c r="AM4" s="4" t="s">
        <v>146</v>
      </c>
      <c r="AN4" s="15"/>
      <c r="AO4" s="27" t="s">
        <v>132</v>
      </c>
      <c r="AP4" s="3" t="s">
        <v>2</v>
      </c>
      <c r="AQ4" s="3" t="s">
        <v>3</v>
      </c>
      <c r="AR4" s="3" t="s">
        <v>133</v>
      </c>
      <c r="AS4" s="3" t="s">
        <v>134</v>
      </c>
      <c r="AT4" s="3">
        <v>55</v>
      </c>
      <c r="AU4" s="3" t="s">
        <v>135</v>
      </c>
      <c r="AV4" s="3" t="s">
        <v>6</v>
      </c>
      <c r="AW4" s="3" t="s">
        <v>136</v>
      </c>
      <c r="AX4" s="3" t="s">
        <v>137</v>
      </c>
      <c r="AY4" s="3"/>
      <c r="AZ4" s="3"/>
      <c r="BA4" s="4" t="s">
        <v>138</v>
      </c>
      <c r="BB4" s="3">
        <v>2</v>
      </c>
      <c r="BC4" s="3">
        <v>1</v>
      </c>
      <c r="BD4" s="3">
        <v>1</v>
      </c>
      <c r="BE4" s="3">
        <v>1</v>
      </c>
      <c r="BF4" s="3">
        <v>0</v>
      </c>
      <c r="BG4" s="3">
        <v>0</v>
      </c>
      <c r="BH4" s="3">
        <v>0</v>
      </c>
      <c r="BI4" s="3">
        <v>0</v>
      </c>
      <c r="BJ4" s="3" t="s">
        <v>139</v>
      </c>
      <c r="BK4" s="4" t="s">
        <v>140</v>
      </c>
      <c r="BL4" s="9">
        <v>46037</v>
      </c>
      <c r="BM4" s="3" t="s">
        <v>141</v>
      </c>
      <c r="BN4" s="3" t="s">
        <v>142</v>
      </c>
      <c r="BO4" s="3" t="s">
        <v>143</v>
      </c>
      <c r="BP4" s="3" t="s">
        <v>7</v>
      </c>
      <c r="BQ4" s="3" t="s">
        <v>12</v>
      </c>
      <c r="BR4" s="3" t="s">
        <v>12</v>
      </c>
      <c r="BS4" s="3" t="s">
        <v>12</v>
      </c>
      <c r="BT4" s="3" t="s">
        <v>12</v>
      </c>
      <c r="BU4" s="3" t="s">
        <v>12</v>
      </c>
      <c r="BV4" s="3" t="s">
        <v>12</v>
      </c>
      <c r="BW4" s="3" t="s">
        <v>12</v>
      </c>
      <c r="BX4" s="3" t="s">
        <v>12</v>
      </c>
      <c r="BY4" s="3" t="s">
        <v>12</v>
      </c>
      <c r="BZ4" s="3" t="s">
        <v>12</v>
      </c>
      <c r="CA4" s="3" t="s">
        <v>12</v>
      </c>
      <c r="CB4" s="3" t="s">
        <v>12</v>
      </c>
      <c r="CC4" s="3" t="s">
        <v>12</v>
      </c>
      <c r="CD4" s="16" t="s">
        <v>13</v>
      </c>
      <c r="CE4" s="9">
        <v>46145</v>
      </c>
      <c r="CF4" s="3" t="s">
        <v>14</v>
      </c>
      <c r="CG4" s="3" t="s">
        <v>142</v>
      </c>
      <c r="CH4" s="3" t="s">
        <v>144</v>
      </c>
      <c r="CI4" s="3" t="s">
        <v>145</v>
      </c>
      <c r="CJ4" s="9">
        <v>46102</v>
      </c>
      <c r="CK4" s="3">
        <v>15000</v>
      </c>
    </row>
    <row r="5" spans="1:89" ht="135" x14ac:dyDescent="0.25">
      <c r="A5" s="3"/>
      <c r="B5" s="4" t="s">
        <v>128</v>
      </c>
      <c r="C5" s="4" t="s">
        <v>149</v>
      </c>
      <c r="D5" s="26" t="s">
        <v>150</v>
      </c>
      <c r="E5" s="24" t="s">
        <v>129</v>
      </c>
      <c r="F5" s="24">
        <v>4</v>
      </c>
      <c r="G5" s="9">
        <v>46100</v>
      </c>
      <c r="H5" s="3" t="s">
        <v>26</v>
      </c>
      <c r="I5" s="3" t="s">
        <v>117</v>
      </c>
      <c r="J5" s="4" t="s">
        <v>0</v>
      </c>
      <c r="K5" s="3" t="s">
        <v>0</v>
      </c>
      <c r="L5" s="3">
        <v>40</v>
      </c>
      <c r="M5" s="3">
        <v>275</v>
      </c>
      <c r="N5" s="3">
        <v>5305</v>
      </c>
      <c r="O5" s="3" t="s">
        <v>130</v>
      </c>
      <c r="P5" s="3" t="s">
        <v>131</v>
      </c>
      <c r="Q5" s="3"/>
      <c r="R5" s="3" t="s">
        <v>25</v>
      </c>
      <c r="S5" s="3">
        <f>T5/2.47105</f>
        <v>4.2492058032010685E-2</v>
      </c>
      <c r="T5" s="25">
        <v>0.105</v>
      </c>
      <c r="U5" s="10">
        <f t="shared" ref="U4:V5" si="1">ROUND(T5*2.471054,4)</f>
        <v>0.25950000000000001</v>
      </c>
      <c r="V5" s="25">
        <v>0.105</v>
      </c>
      <c r="W5" s="3">
        <v>2498838</v>
      </c>
      <c r="X5" s="3">
        <v>648448</v>
      </c>
      <c r="Y5" s="3">
        <v>1296896</v>
      </c>
      <c r="Z5" s="3">
        <v>15</v>
      </c>
      <c r="AA5" s="3">
        <v>342360</v>
      </c>
      <c r="AB5" s="3">
        <v>0</v>
      </c>
      <c r="AC5" s="3">
        <v>0</v>
      </c>
      <c r="AD5" s="3">
        <v>0</v>
      </c>
      <c r="AE5" s="3">
        <v>0</v>
      </c>
      <c r="AF5" s="3">
        <v>1639256</v>
      </c>
      <c r="AG5" s="12">
        <f>AF5</f>
        <v>1639256</v>
      </c>
      <c r="AH5" s="3">
        <v>0</v>
      </c>
      <c r="AI5" s="3">
        <v>182063</v>
      </c>
      <c r="AJ5" s="12">
        <f>AF5+AG5+AI5</f>
        <v>3460575</v>
      </c>
      <c r="AK5" s="12">
        <f>AJ5</f>
        <v>3460575</v>
      </c>
      <c r="AL5" s="3"/>
      <c r="AM5" s="3"/>
      <c r="AN5" s="15" t="s">
        <v>148</v>
      </c>
      <c r="AO5" s="28" t="s">
        <v>151</v>
      </c>
      <c r="AP5" s="18" t="s">
        <v>2</v>
      </c>
      <c r="AQ5" s="18" t="s">
        <v>152</v>
      </c>
      <c r="AR5" s="18" t="s">
        <v>3</v>
      </c>
      <c r="AS5" s="18">
        <v>7682997204</v>
      </c>
      <c r="AT5" s="3">
        <v>71</v>
      </c>
      <c r="AU5" s="3" t="s">
        <v>153</v>
      </c>
      <c r="AV5" s="3" t="s">
        <v>6</v>
      </c>
      <c r="AW5" s="4" t="s">
        <v>16</v>
      </c>
      <c r="AX5" s="1" t="s">
        <v>15</v>
      </c>
      <c r="AY5" s="1">
        <v>130000</v>
      </c>
      <c r="AZ5" s="1"/>
      <c r="BA5" s="1" t="s">
        <v>18</v>
      </c>
      <c r="BB5" s="2">
        <v>1</v>
      </c>
      <c r="BC5" s="2">
        <v>1</v>
      </c>
      <c r="BD5" s="2">
        <v>1</v>
      </c>
      <c r="BE5" s="2">
        <v>2</v>
      </c>
      <c r="BF5" s="2">
        <v>0</v>
      </c>
      <c r="BG5" s="2">
        <v>0</v>
      </c>
      <c r="BH5" s="2">
        <v>0</v>
      </c>
      <c r="BI5" s="2">
        <v>0</v>
      </c>
      <c r="BJ5" s="1"/>
      <c r="BK5" s="21" t="s">
        <v>154</v>
      </c>
      <c r="BL5" s="29">
        <v>46025</v>
      </c>
      <c r="BM5" s="1" t="s">
        <v>10</v>
      </c>
      <c r="BN5" s="1" t="s">
        <v>11</v>
      </c>
      <c r="BO5" s="1" t="s">
        <v>19</v>
      </c>
      <c r="BP5" s="2" t="s">
        <v>12</v>
      </c>
      <c r="BQ5" s="2" t="s">
        <v>7</v>
      </c>
      <c r="BR5" s="2" t="s">
        <v>7</v>
      </c>
      <c r="BS5" s="2" t="s">
        <v>7</v>
      </c>
      <c r="BT5" s="2" t="s">
        <v>7</v>
      </c>
      <c r="BU5" s="2" t="s">
        <v>7</v>
      </c>
      <c r="BV5" s="2" t="s">
        <v>7</v>
      </c>
      <c r="BW5" s="2" t="s">
        <v>7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  <c r="CC5" s="2" t="s">
        <v>7</v>
      </c>
      <c r="CD5" s="22" t="s">
        <v>13</v>
      </c>
      <c r="CE5" s="23">
        <v>46145</v>
      </c>
      <c r="CF5" s="2" t="s">
        <v>14</v>
      </c>
      <c r="CG5" s="2" t="s">
        <v>11</v>
      </c>
      <c r="CH5" s="2" t="s">
        <v>20</v>
      </c>
      <c r="CI5" s="2" t="s">
        <v>27</v>
      </c>
      <c r="CJ5" s="2"/>
      <c r="CK5" s="2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C90"/>
    </sheetView>
  </sheetViews>
  <sheetFormatPr defaultRowHeight="15" x14ac:dyDescent="0.25"/>
  <cols>
    <col min="1" max="1" width="13.140625" customWidth="1"/>
    <col min="2" max="3" width="27.28515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mahesh BNB</cp:lastModifiedBy>
  <cp:revision/>
  <dcterms:created xsi:type="dcterms:W3CDTF">2025-10-17T11:48:31Z</dcterms:created>
  <dcterms:modified xsi:type="dcterms:W3CDTF">2026-04-20T10:15:39Z</dcterms:modified>
  <cp:category/>
  <cp:contentStatus/>
</cp:coreProperties>
</file>