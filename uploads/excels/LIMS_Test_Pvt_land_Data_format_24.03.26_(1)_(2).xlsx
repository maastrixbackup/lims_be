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asuser\Downloads\"/>
    </mc:Choice>
  </mc:AlternateContent>
  <xr:revisionPtr revIDLastSave="0" documentId="13_ncr:1_{AB8F33E0-EFBF-46FE-9184-FDFD7EB66FA2}" xr6:coauthVersionLast="47" xr6:coauthVersionMax="47" xr10:uidLastSave="{00000000-0000-0000-0000-000000000000}"/>
  <bookViews>
    <workbookView xWindow="-120" yWindow="-120" windowWidth="20730" windowHeight="11040" xr2:uid="{00000000-000D-0000-FFFF-FFFF00000000}"/>
  </bookViews>
  <sheets>
    <sheet name="Sheet2" sheetId="1" r:id="rId1"/>
    <sheet name="Sheet1" sheetId="2" r:id="rId2"/>
  </sheets>
  <definedNames>
    <definedName name="_xlnm._FilterDatabase" localSheetId="0" hidden="1">Sheet2!$A$1:$CH$32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7" i="1" l="1"/>
  <c r="S26" i="1"/>
</calcChain>
</file>

<file path=xl/sharedStrings.xml><?xml version="1.0" encoding="utf-8"?>
<sst xmlns="http://schemas.openxmlformats.org/spreadsheetml/2006/main" count="696" uniqueCount="301">
  <si>
    <t>SES Survey No.</t>
  </si>
  <si>
    <t>LA Case File No.</t>
  </si>
  <si>
    <t>Date of Award</t>
  </si>
  <si>
    <t>LO1-Name of Recorded Tenant (RT)</t>
  </si>
  <si>
    <t>LO2-Name of Present Tenant(s)</t>
  </si>
  <si>
    <t>Present Address</t>
  </si>
  <si>
    <t>Displaced/Affected Person</t>
  </si>
  <si>
    <t>Name of Village</t>
  </si>
  <si>
    <t>Name of the Tahasil</t>
  </si>
  <si>
    <t>Name of the R.I. Circle</t>
  </si>
  <si>
    <t>Thana No.</t>
  </si>
  <si>
    <t>Khata No.</t>
  </si>
  <si>
    <t>Plot No.</t>
  </si>
  <si>
    <t>Kissam of the Land</t>
  </si>
  <si>
    <t>LO12-Category of Land</t>
  </si>
  <si>
    <t>LO13-Remarks</t>
  </si>
  <si>
    <t>LA1-Land Area (Total Area in Acres)</t>
  </si>
  <si>
    <t>LA2-Land Area (Total Area in Ha.)</t>
  </si>
  <si>
    <t>Land Area (Total Acquired Area in Acres)</t>
  </si>
  <si>
    <t>Land Area (Total Acquired Area in Ha.)</t>
  </si>
  <si>
    <t>Market Value fixed U/S.26 of RFCTLARR Act 2013 (Per Acre)</t>
  </si>
  <si>
    <t>Basic Land value</t>
  </si>
  <si>
    <t>Land value  with multiplication factor (Values from 1 to 2)</t>
  </si>
  <si>
    <t>No. of Trees</t>
  </si>
  <si>
    <t xml:space="preserve">Total Value of Trees </t>
  </si>
  <si>
    <t>No. of House</t>
  </si>
  <si>
    <t xml:space="preserve"> Value of Structure (house)</t>
  </si>
  <si>
    <t>Detail of Structures other than House</t>
  </si>
  <si>
    <t xml:space="preserve">Value of structures other than house
</t>
  </si>
  <si>
    <t xml:space="preserve"> Total Value  (Land-22 + Tree-24 + House-26 + Structures-28)</t>
  </si>
  <si>
    <t xml:space="preserve">Solatium @ of (100%) </t>
  </si>
  <si>
    <t xml:space="preserve">12% additional compensation on market value of land area </t>
  </si>
  <si>
    <t>Total Compensation Amount</t>
  </si>
  <si>
    <t>LA18-Apportionment Amount of the Award for the Individual Family Member</t>
  </si>
  <si>
    <t>LA19-Priority/Urgency</t>
  </si>
  <si>
    <t>LA20-Land Use Plan</t>
  </si>
  <si>
    <t>LA21-Remarks</t>
  </si>
  <si>
    <t>BK01-Bank Account No.</t>
  </si>
  <si>
    <t>BK02-Name of the Bank</t>
  </si>
  <si>
    <t>BK03-Name of the Branch with IFSC Code</t>
  </si>
  <si>
    <t>PD01-Aadhaar No.</t>
  </si>
  <si>
    <t>PAN No.</t>
  </si>
  <si>
    <t>Age</t>
  </si>
  <si>
    <t>Caste</t>
  </si>
  <si>
    <t>Marital Status</t>
  </si>
  <si>
    <t>Education</t>
  </si>
  <si>
    <t>Occupation</t>
  </si>
  <si>
    <t>Annual Income</t>
  </si>
  <si>
    <t>PD09- Skill Acquired</t>
  </si>
  <si>
    <t>PD10-Affidavit with subject details (if any)</t>
  </si>
  <si>
    <t>FD01-No. of Family Members (Major Male)</t>
  </si>
  <si>
    <t>No. of Family Members (Major Female)</t>
  </si>
  <si>
    <t>No. of Family Members (Minor Male)</t>
  </si>
  <si>
    <t>No. of Family Members (Minor Female)</t>
  </si>
  <si>
    <t>No. of Family Members (Major Transgender)</t>
  </si>
  <si>
    <t>No. of Family Members (Minor Transgender)</t>
  </si>
  <si>
    <t xml:space="preserve">No. of Persons with Disability </t>
  </si>
  <si>
    <t>Family with Orphan Members (Y/N)</t>
  </si>
  <si>
    <t>FD09-Legal Heir Certificate No. (if any)</t>
  </si>
  <si>
    <t>LG01-Land Case - No. (Number)</t>
  </si>
  <si>
    <t>Land Case - Date (Date)</t>
  </si>
  <si>
    <t>Land Case Type</t>
  </si>
  <si>
    <t>Land case - Status</t>
  </si>
  <si>
    <t>LG05-Land Case - Action</t>
  </si>
  <si>
    <t xml:space="preserve">RR Assistance (Rehab) - Employment in the Project </t>
  </si>
  <si>
    <t>RR Assistance (Rehab) - Cash in lieu of Employment</t>
  </si>
  <si>
    <t>RR Assistance (Rehab) - Training for Skill Upgradation</t>
  </si>
  <si>
    <t>RR Assistance (Rehab) - Assistance for Self Employment</t>
  </si>
  <si>
    <t>RR Assistance (Rehab) - Special Allowance to STs for loss of NTFP</t>
  </si>
  <si>
    <t>RR Assistance (Resettle) - Homested Land Alloted/Self Relocation</t>
  </si>
  <si>
    <t>RR Assistance (Resettle) - House Building Assistance</t>
  </si>
  <si>
    <t>RR Assistance (Resettle) - Constructed by Project Authority/Self</t>
  </si>
  <si>
    <t>RR Assistance (Resettle) - Assistance for Transit Shed</t>
  </si>
  <si>
    <t>RR Assistance (Resettle) - Transportation Allowance</t>
  </si>
  <si>
    <t>RR Assistance (Resettle) - Maintenance Allowance</t>
  </si>
  <si>
    <t>RR Assistance (Other) - Special Allowance for Multiple Displacement</t>
  </si>
  <si>
    <t>RR Assistance (Other) - Ex-Gratia (if any)</t>
  </si>
  <si>
    <t>RR Assistance (Other) - Other Benefits (if any)</t>
  </si>
  <si>
    <t xml:space="preserve">GR01-Grievance No. </t>
  </si>
  <si>
    <t>Grievance  Date</t>
  </si>
  <si>
    <t>Grievance - Subject Matter</t>
  </si>
  <si>
    <t>Grievance - Present Status</t>
  </si>
  <si>
    <t>GR05-Grievance - Action taken</t>
  </si>
  <si>
    <t>TR01-Tribunal (Y/N)</t>
  </si>
  <si>
    <t>Tribunal - Date of Deposit</t>
  </si>
  <si>
    <t>TR03-Tribunal - Amount Deposited</t>
  </si>
  <si>
    <t>Gharabari</t>
  </si>
  <si>
    <t>Patita</t>
  </si>
  <si>
    <t>407/73</t>
  </si>
  <si>
    <t>407/36</t>
  </si>
  <si>
    <t>407/225</t>
  </si>
  <si>
    <t>407/468</t>
  </si>
  <si>
    <t>407/78</t>
  </si>
  <si>
    <t>407/168</t>
  </si>
  <si>
    <t>407/214</t>
  </si>
  <si>
    <t>407/92</t>
  </si>
  <si>
    <t>407/283</t>
  </si>
  <si>
    <t>407/282</t>
  </si>
  <si>
    <t>Nrusingh Charan Majhi</t>
  </si>
  <si>
    <t>Debadhi Majhi</t>
  </si>
  <si>
    <t>Anjali Behera</t>
  </si>
  <si>
    <t>Madan Mohan Majhi</t>
  </si>
  <si>
    <t>Murali Majhi</t>
  </si>
  <si>
    <t>Karunakara Naik</t>
  </si>
  <si>
    <t>Hemanta Kumar Sahu, Kalandi Charan Sahu</t>
  </si>
  <si>
    <t>Kamara Sahu, Kandri Sahu, Hagri Sahu, Debadatta Sahu, Sanjay Sahu, Ajit Sahu, Gun Sahu</t>
  </si>
  <si>
    <t>Akshya Dehury</t>
  </si>
  <si>
    <t>Achyuta Pradhan</t>
  </si>
  <si>
    <t>Dileswar Pradhan, Padmalabh Padhan, Pabitra Padhan, Udia Padhan, Rukmani Padhan, Daitari Padhan, Madhusudan Majhi, Debadhi Majhi</t>
  </si>
  <si>
    <t>Rushi Pradhan, Ekadushia Pradhan, China Pradhan, Vidyadhar Pradhan, Baikuntha Pradhan, Chain Bishwal, Kandhei Sahu</t>
  </si>
  <si>
    <t>Jagat Janani Das</t>
  </si>
  <si>
    <t>GMDC/HDG/0319</t>
  </si>
  <si>
    <t>GMDC/HDG/0318</t>
  </si>
  <si>
    <t>GMDC/HDG/0333</t>
  </si>
  <si>
    <t>GMDC/HDG/0246</t>
  </si>
  <si>
    <t>GMDC/HDG/0353</t>
  </si>
  <si>
    <t>GMDC/HDG/0359</t>
  </si>
  <si>
    <t>GMDC/HDG/0260</t>
  </si>
  <si>
    <t>GMDC/HDG/0356</t>
  </si>
  <si>
    <t>GMDC/HDG/0357</t>
  </si>
  <si>
    <t>GMDC/HDG/0355</t>
  </si>
  <si>
    <t>GMDC/HDG/0212</t>
  </si>
  <si>
    <t>GMDC/HDG/0131</t>
  </si>
  <si>
    <t>GMDC/HDG/0340</t>
  </si>
  <si>
    <t>GMDC/HDG/0017</t>
  </si>
  <si>
    <t>GMDC/CPJ/0058</t>
  </si>
  <si>
    <t>Handigoda</t>
  </si>
  <si>
    <t>1321/3434</t>
  </si>
  <si>
    <t>1260/3441</t>
  </si>
  <si>
    <t>312/2953</t>
  </si>
  <si>
    <t>2226/3529</t>
  </si>
  <si>
    <t>352/3811</t>
  </si>
  <si>
    <t>352/3812</t>
  </si>
  <si>
    <t>1145/3413</t>
  </si>
  <si>
    <t>1145/3422</t>
  </si>
  <si>
    <t>1145/3427</t>
  </si>
  <si>
    <t>253/3485</t>
  </si>
  <si>
    <t>238/3728</t>
  </si>
  <si>
    <t>1132/3432</t>
  </si>
  <si>
    <t>1151/3586</t>
  </si>
  <si>
    <t>Taila</t>
  </si>
  <si>
    <t>SAJS III</t>
  </si>
  <si>
    <t>SAJS I</t>
  </si>
  <si>
    <t>Bagayat II</t>
  </si>
  <si>
    <t>SAJS II</t>
  </si>
  <si>
    <t>V</t>
  </si>
  <si>
    <t>III</t>
  </si>
  <si>
    <t>II</t>
  </si>
  <si>
    <t>IV</t>
  </si>
  <si>
    <t>24,98,838</t>
  </si>
  <si>
    <t>25,36,416</t>
  </si>
  <si>
    <t>23,03,422</t>
  </si>
  <si>
    <t>7,74,180</t>
  </si>
  <si>
    <t>2,63,280</t>
  </si>
  <si>
    <t>51,15,871</t>
  </si>
  <si>
    <t>chhendipada</t>
  </si>
  <si>
    <t>Bishnu Mahapatra, Kalei Mahapatra, Madhab Mahapatra, Sures Mahapatra, Sushila Mahapatra, Balia Mahapatra, Kishori Mahapatra, Kumpani Mahapatra, Bishwanath Mahapatra, Duhita Mahapatra, Shankar Mahapatra, Angur Mahapatra, Chakra Mahapatra, Fakir Mahapatra, Bhikari Mahapatra, Daitari Mahapatra</t>
  </si>
  <si>
    <t>Pabitra Pradhan</t>
  </si>
  <si>
    <t>Bishnucharan Mahapatra</t>
  </si>
  <si>
    <t>Antaryami Majhi</t>
  </si>
  <si>
    <t>Srinibas Majhi</t>
  </si>
  <si>
    <t>Sunanda Majhi</t>
  </si>
  <si>
    <t>Nrushingh Charan Majhi</t>
  </si>
  <si>
    <t>Hemanta Kumar Sahu</t>
  </si>
  <si>
    <t>Kalandi Charan Sahu</t>
  </si>
  <si>
    <t>Aparna Sahu</t>
  </si>
  <si>
    <t>Satyaprakash Sahu</t>
  </si>
  <si>
    <t>Narmada Sahu</t>
  </si>
  <si>
    <t>Jambubati Sahu</t>
  </si>
  <si>
    <t>Rabindra Kumar Sahoo</t>
  </si>
  <si>
    <t>Pabitra Sahu</t>
  </si>
  <si>
    <t> Kabichandra Sahu</t>
  </si>
  <si>
    <t>Akshaya Dehury</t>
  </si>
  <si>
    <t>Achyut Pradhan</t>
  </si>
  <si>
    <t>Dileswar Pradhan</t>
  </si>
  <si>
    <t>Padmanav Pradhan</t>
  </si>
  <si>
    <t>Srinibasa Pradhan</t>
  </si>
  <si>
    <t>Madan Mohan Pradhan</t>
  </si>
  <si>
    <t>32510839073</t>
  </si>
  <si>
    <t>State Bank of India</t>
  </si>
  <si>
    <t>SBIN0002042</t>
  </si>
  <si>
    <t>4088 8314 0796</t>
  </si>
  <si>
    <t>11598477934</t>
  </si>
  <si>
    <t>11598475392</t>
  </si>
  <si>
    <t>11598469989</t>
  </si>
  <si>
    <t>Canara Bank</t>
  </si>
  <si>
    <t>CNRB0003369</t>
  </si>
  <si>
    <t>5407 4048 3901</t>
  </si>
  <si>
    <t>8655 6213 5727</t>
  </si>
  <si>
    <t>6894 4406 9762</t>
  </si>
  <si>
    <t>4638 3572 9999</t>
  </si>
  <si>
    <t>1503010101253</t>
  </si>
  <si>
    <t>Punjab National Bank</t>
  </si>
  <si>
    <t>PUNB0150320</t>
  </si>
  <si>
    <t>31196657029</t>
  </si>
  <si>
    <t>9903 9091 8069</t>
  </si>
  <si>
    <t>2015 2168 5660</t>
  </si>
  <si>
    <t>30407763457</t>
  </si>
  <si>
    <t>9084 8961 6711</t>
  </si>
  <si>
    <t>35043256759</t>
  </si>
  <si>
    <t>7771 0786 7152</t>
  </si>
  <si>
    <t>8887 2548 9283</t>
  </si>
  <si>
    <t>44892419494</t>
  </si>
  <si>
    <t>3369101003845</t>
  </si>
  <si>
    <t>6895 1798 9354</t>
  </si>
  <si>
    <t>5312 6916 3762</t>
  </si>
  <si>
    <t>7413 0179 3382</t>
  </si>
  <si>
    <t>6088 6667 3272</t>
  </si>
  <si>
    <t>8785 0734 2870</t>
  </si>
  <si>
    <t>5859 8799 7421</t>
  </si>
  <si>
    <t>8659 4173 3573</t>
  </si>
  <si>
    <t>056134001000639</t>
  </si>
  <si>
    <t>Odisha Gramya Bank</t>
  </si>
  <si>
    <t>39644228448</t>
  </si>
  <si>
    <t>34411271359</t>
  </si>
  <si>
    <t>055834001002392</t>
  </si>
  <si>
    <t>537710110000382</t>
  </si>
  <si>
    <t>Bank of India</t>
  </si>
  <si>
    <t>056134001007462</t>
  </si>
  <si>
    <t>Odisha Grameen Bank</t>
  </si>
  <si>
    <t>056134001007523</t>
  </si>
  <si>
    <t>IOBA0ROGB01</t>
  </si>
  <si>
    <t>BKID0005377</t>
  </si>
  <si>
    <t>IOBA0GB0561</t>
  </si>
  <si>
    <t>7105 0210 6633</t>
  </si>
  <si>
    <t>11598446768</t>
  </si>
  <si>
    <t>7479 2391 6277</t>
  </si>
  <si>
    <t>43933879003</t>
  </si>
  <si>
    <t>2306 0054 2806</t>
  </si>
  <si>
    <t>9633 3852 0722</t>
  </si>
  <si>
    <t>6102 8869 5941</t>
  </si>
  <si>
    <t>30985215763</t>
  </si>
  <si>
    <t>11598446906</t>
  </si>
  <si>
    <t>36500062723</t>
  </si>
  <si>
    <t>9778 3682 8671</t>
  </si>
  <si>
    <t>5545 8831 0689</t>
  </si>
  <si>
    <t>11598450015</t>
  </si>
  <si>
    <t>3369101004383</t>
  </si>
  <si>
    <t>8993 4467 7291</t>
  </si>
  <si>
    <t>34024330111</t>
  </si>
  <si>
    <t>SBIN0000007</t>
  </si>
  <si>
    <t>chhendipada jungle</t>
  </si>
  <si>
    <t>Balipata</t>
  </si>
  <si>
    <t>Chhendipada</t>
  </si>
  <si>
    <t>59036</t>
  </si>
  <si>
    <t>FXOPM9594R</t>
  </si>
  <si>
    <t>CENPM1928N</t>
  </si>
  <si>
    <t>BCKPM7627L</t>
  </si>
  <si>
    <t>Chasa</t>
  </si>
  <si>
    <t>married</t>
  </si>
  <si>
    <t>house wife</t>
  </si>
  <si>
    <t>matric</t>
  </si>
  <si>
    <t>no</t>
  </si>
  <si>
    <t>E-LHC/2024/226926</t>
  </si>
  <si>
    <t>At- Jamunali, Po- Tentuloi, Ps- Chhendipada, Angul-759124</t>
  </si>
  <si>
    <t>At-Handigoda, Po- Tentuloi, PS-Chhendipada, Dist.- Angul, Pin- 759124</t>
  </si>
  <si>
    <t xml:space="preserve"> CJAPM7002H</t>
  </si>
  <si>
    <t xml:space="preserve">Gentu Majhi </t>
  </si>
  <si>
    <t>ESMPS3282J</t>
  </si>
  <si>
    <t>EAUPS7840N</t>
  </si>
  <si>
    <t> Chasa</t>
  </si>
  <si>
    <t>job holder</t>
  </si>
  <si>
    <t>field worker</t>
  </si>
  <si>
    <t>At- Handigoda, Po- Tentuloi, Ps- Chhendipada, Angul- 759124</t>
  </si>
  <si>
    <t>PAF</t>
  </si>
  <si>
    <t xml:space="preserve">Handigoda, Po- Tentuloi, Ps-Chhendipada, Dist.- Angul, Pin- 759124 </t>
  </si>
  <si>
    <t>Land acquisition</t>
  </si>
  <si>
    <t>active</t>
  </si>
  <si>
    <t>yes</t>
  </si>
  <si>
    <t>DARPG/E/2026/0001234</t>
  </si>
  <si>
    <t>land acquisition</t>
  </si>
  <si>
    <t>intermidiate</t>
  </si>
  <si>
    <t>workers</t>
  </si>
  <si>
    <t>under matric</t>
  </si>
  <si>
    <t>PDF</t>
  </si>
  <si>
    <t>name mismatch</t>
  </si>
  <si>
    <t>court action &amp; orders</t>
  </si>
  <si>
    <t>e-LHC/37 of 2015</t>
  </si>
  <si>
    <t>partition suit</t>
  </si>
  <si>
    <t>pending</t>
  </si>
  <si>
    <t>legal action</t>
  </si>
  <si>
    <t>legal</t>
  </si>
  <si>
    <t>forward to court</t>
  </si>
  <si>
    <t>parental address recognition</t>
  </si>
  <si>
    <t>E-LHC/2023/216048</t>
  </si>
  <si>
    <t>suit for possession</t>
  </si>
  <si>
    <t>evction of illegal occupants</t>
  </si>
  <si>
    <t>immediate vesting</t>
  </si>
  <si>
    <t>critical public purpose</t>
  </si>
  <si>
    <t>judicial review</t>
  </si>
  <si>
    <t>building office</t>
  </si>
  <si>
    <t>mining Area</t>
  </si>
  <si>
    <t>road construction</t>
  </si>
  <si>
    <t>livelihood loss</t>
  </si>
  <si>
    <t>compensation lower than market value</t>
  </si>
  <si>
    <t>disputes between owner and cultivator</t>
  </si>
  <si>
    <t>illegal possession</t>
  </si>
  <si>
    <t xml:space="preserve">for the necessity of project land is being more </t>
  </si>
  <si>
    <t>demand of higher compensation</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</si>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</sst>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 #,##0;&quot;₹&quot;\ \-#,##0"/>
    <numFmt numFmtId="43" formatCode="_ * #,##0.00_ ;_ * \-#,##0.00_ ;_ * &quot;-&quot;??_ ;_ @_ "/>
    <numFmt numFmtId="164" formatCode="0.0000"/>
    <numFmt numFmtId="165" formatCode="0.00;[Red]0.00"/>
    <numFmt numFmtId="166" formatCode="0_ ;\-0\ "/>
  </numFmts>
  <fonts count="8"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rgb="FF0A0A0A"/>
      <name val="Calibri"/>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43" fontId="4" fillId="0" borderId="0" applyFont="0" applyFill="0" applyBorder="0" applyAlignment="0" applyProtection="0"/>
  </cellStyleXfs>
  <cellXfs count="57">
    <xf numFmtId="0" fontId="0" fillId="0" borderId="0" xfId="0"/>
    <xf numFmtId="0" fontId="2" fillId="0" borderId="1" xfId="0" applyFont="1" applyBorder="1" applyAlignment="1">
      <alignment horizontal="left" vertical="center" wrapText="1"/>
    </xf>
    <xf numFmtId="0" fontId="5" fillId="0" borderId="1" xfId="1" applyFont="1" applyBorder="1" applyAlignment="1">
      <alignment horizontal="left" vertical="center"/>
    </xf>
    <xf numFmtId="0" fontId="1" fillId="0" borderId="1" xfId="0" applyFont="1" applyBorder="1" applyAlignment="1">
      <alignment horizontal="left" vertical="center" wrapText="1"/>
    </xf>
    <xf numFmtId="164" fontId="2"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wrapText="1"/>
    </xf>
    <xf numFmtId="164" fontId="5" fillId="0" borderId="1" xfId="1" applyNumberFormat="1" applyFont="1" applyBorder="1" applyAlignment="1">
      <alignment horizontal="left" vertical="center"/>
    </xf>
    <xf numFmtId="0" fontId="5" fillId="0" borderId="1" xfId="2" applyNumberFormat="1" applyFont="1" applyFill="1" applyBorder="1" applyAlignment="1">
      <alignment horizontal="left" vertical="center"/>
    </xf>
    <xf numFmtId="0" fontId="0" fillId="0" borderId="1" xfId="0" applyBorder="1" applyAlignment="1">
      <alignment horizontal="left"/>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1" xfId="0" applyBorder="1" applyAlignment="1">
      <alignment horizontal="left" vertical="center"/>
    </xf>
    <xf numFmtId="0" fontId="6" fillId="0" borderId="1" xfId="0" applyFont="1" applyBorder="1" applyAlignment="1">
      <alignment horizontal="left" vertical="center"/>
    </xf>
    <xf numFmtId="0" fontId="5" fillId="0" borderId="1" xfId="0" applyFont="1" applyBorder="1" applyAlignment="1">
      <alignment horizontal="left" vertical="center"/>
    </xf>
    <xf numFmtId="164" fontId="0" fillId="2" borderId="1" xfId="0" applyNumberFormat="1" applyFill="1" applyBorder="1" applyAlignment="1">
      <alignment horizontal="left" vertical="center"/>
    </xf>
    <xf numFmtId="164" fontId="0" fillId="0" borderId="1" xfId="0" applyNumberFormat="1" applyBorder="1" applyAlignment="1">
      <alignment horizontal="left" vertical="center"/>
    </xf>
    <xf numFmtId="49" fontId="5" fillId="0" borderId="1" xfId="2" applyNumberFormat="1" applyFont="1" applyFill="1" applyBorder="1" applyAlignment="1">
      <alignment horizontal="left" vertical="center"/>
    </xf>
    <xf numFmtId="5" fontId="0" fillId="2" borderId="1" xfId="0" applyNumberFormat="1" applyFill="1" applyBorder="1" applyAlignment="1">
      <alignment horizontal="left" vertical="center"/>
    </xf>
    <xf numFmtId="49" fontId="0" fillId="0" borderId="2" xfId="0" applyNumberFormat="1" applyBorder="1" applyAlignment="1">
      <alignment horizontal="left"/>
    </xf>
    <xf numFmtId="0" fontId="0" fillId="0" borderId="2" xfId="0" applyBorder="1" applyAlignment="1">
      <alignment horizontal="left"/>
    </xf>
    <xf numFmtId="0" fontId="0" fillId="0" borderId="3" xfId="0" applyBorder="1" applyAlignment="1">
      <alignment horizontal="left" vertical="center"/>
    </xf>
    <xf numFmtId="49" fontId="0" fillId="0" borderId="3" xfId="0" applyNumberFormat="1" applyBorder="1" applyAlignment="1">
      <alignment horizontal="left"/>
    </xf>
    <xf numFmtId="0" fontId="0" fillId="0" borderId="3" xfId="0" applyBorder="1" applyAlignment="1">
      <alignment horizontal="left"/>
    </xf>
    <xf numFmtId="0" fontId="0" fillId="0" borderId="1" xfId="0" applyBorder="1" applyAlignment="1">
      <alignment horizontal="left" vertical="center" wrapText="1"/>
    </xf>
    <xf numFmtId="49" fontId="0" fillId="0" borderId="1" xfId="0" applyNumberFormat="1" applyBorder="1" applyAlignment="1">
      <alignment horizontal="left"/>
    </xf>
    <xf numFmtId="0" fontId="0" fillId="0" borderId="4" xfId="0" applyBorder="1" applyAlignment="1">
      <alignment horizontal="left"/>
    </xf>
    <xf numFmtId="49" fontId="0" fillId="0" borderId="4" xfId="0" applyNumberFormat="1" applyBorder="1" applyAlignment="1">
      <alignment horizontal="left"/>
    </xf>
    <xf numFmtId="0" fontId="0" fillId="0" borderId="1" xfId="0" applyBorder="1" applyAlignment="1">
      <alignment horizontal="left" wrapText="1"/>
    </xf>
    <xf numFmtId="164" fontId="5" fillId="0" borderId="2" xfId="1" applyNumberFormat="1" applyFont="1" applyBorder="1" applyAlignment="1">
      <alignment horizontal="left" vertical="center" wrapText="1"/>
    </xf>
    <xf numFmtId="164" fontId="0" fillId="3" borderId="1" xfId="0" applyNumberFormat="1" applyFill="1" applyBorder="1" applyAlignment="1">
      <alignment horizontal="left" vertical="center"/>
    </xf>
    <xf numFmtId="164" fontId="0" fillId="0" borderId="1" xfId="0" applyNumberFormat="1" applyBorder="1" applyAlignment="1">
      <alignment horizontal="left" vertical="top"/>
    </xf>
    <xf numFmtId="14" fontId="0" fillId="0" borderId="2" xfId="0" applyNumberFormat="1" applyBorder="1" applyAlignment="1">
      <alignment horizontal="left" vertical="center"/>
    </xf>
    <xf numFmtId="2" fontId="5" fillId="0" borderId="1" xfId="2" applyNumberFormat="1" applyFont="1" applyFill="1" applyBorder="1" applyAlignment="1">
      <alignment horizontal="left" vertical="center"/>
    </xf>
    <xf numFmtId="1" fontId="5" fillId="0" borderId="1" xfId="2" applyNumberFormat="1" applyFont="1" applyFill="1" applyBorder="1" applyAlignment="1">
      <alignment horizontal="left" vertical="center"/>
    </xf>
    <xf numFmtId="165" fontId="5" fillId="0" borderId="1" xfId="2" applyNumberFormat="1" applyFont="1" applyFill="1" applyBorder="1" applyAlignment="1">
      <alignment horizontal="left" vertical="center"/>
    </xf>
    <xf numFmtId="2" fontId="0" fillId="0" borderId="1" xfId="0" applyNumberFormat="1" applyBorder="1" applyAlignment="1">
      <alignment horizontal="left"/>
    </xf>
    <xf numFmtId="2" fontId="0" fillId="0" borderId="1" xfId="0" applyNumberFormat="1" applyBorder="1" applyAlignment="1">
      <alignment horizontal="left" vertical="center" wrapText="1"/>
    </xf>
    <xf numFmtId="0" fontId="0" fillId="0" borderId="1" xfId="0" applyBorder="1"/>
    <xf numFmtId="0" fontId="0" fillId="0" borderId="1" xfId="0" applyBorder="1" applyAlignment="1">
      <alignment horizontal="center" vertical="center"/>
    </xf>
    <xf numFmtId="0" fontId="0" fillId="0" borderId="0" xfId="0" applyAlignment="1">
      <alignment wrapText="1"/>
    </xf>
    <xf numFmtId="0" fontId="6" fillId="0" borderId="0" xfId="0" applyFont="1"/>
    <xf numFmtId="0" fontId="6" fillId="0" borderId="0" xfId="0" applyFont="1" applyAlignment="1">
      <alignment horizontal="center" vertical="center"/>
    </xf>
    <xf numFmtId="0" fontId="6" fillId="0" borderId="0" xfId="0" applyFont="1" applyAlignment="1">
      <alignment wrapText="1"/>
    </xf>
    <xf numFmtId="14" fontId="0" fillId="0" borderId="1" xfId="0" applyNumberFormat="1" applyBorder="1"/>
    <xf numFmtId="14" fontId="0" fillId="0" borderId="1" xfId="0" applyNumberFormat="1" applyBorder="1" applyAlignment="1">
      <alignment horizontal="left"/>
    </xf>
    <xf numFmtId="164" fontId="0" fillId="0" borderId="1" xfId="0" applyNumberFormat="1" applyBorder="1" applyAlignment="1">
      <alignment horizontal="center" vertical="center"/>
    </xf>
    <xf numFmtId="5" fontId="0" fillId="2" borderId="1" xfId="0" applyNumberFormat="1" applyFill="1" applyBorder="1" applyAlignment="1">
      <alignment horizontal="left" vertical="center" wrapText="1"/>
    </xf>
    <xf numFmtId="164" fontId="0" fillId="2" borderId="1" xfId="0" applyNumberFormat="1" applyFill="1" applyBorder="1" applyAlignment="1">
      <alignment horizontal="left" vertical="center"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1" xfId="0" applyBorder="1" applyAlignment="1">
      <alignment horizontal="center" vertical="center" wrapText="1"/>
    </xf>
    <xf numFmtId="2" fontId="0" fillId="2" borderId="1" xfId="0" applyNumberFormat="1" applyFill="1" applyBorder="1" applyAlignment="1">
      <alignment horizontal="left" vertical="center"/>
    </xf>
    <xf numFmtId="166" fontId="0" fillId="2" borderId="1" xfId="0" applyNumberFormat="1" applyFill="1" applyBorder="1" applyAlignment="1">
      <alignment horizontal="left" vertical="center" wrapText="1"/>
    </xf>
    <xf numFmtId="0" fontId="7" fillId="0" borderId="1" xfId="0" applyFont="1" applyBorder="1" applyAlignment="1">
      <alignment vertical="center" wrapText="1"/>
    </xf>
    <xf numFmtId="14" fontId="0" fillId="0" borderId="1" xfId="0" applyNumberFormat="1" applyBorder="1" applyAlignment="1">
      <alignment horizontal="left" vertical="center"/>
    </xf>
    <xf numFmtId="0" fontId="0" fillId="0" borderId="1" xfId="0" applyBorder="1" applyAlignment="1">
      <alignment vertical="center"/>
    </xf>
  </cellXfs>
  <cellStyles count="3">
    <cellStyle name="Comma" xfId="2" builtinId="3"/>
    <cellStyle name="Normal" xfId="0" builtinId="0"/>
    <cellStyle name="Normal 2" xfId="1" xr:uid="{399DA8E6-188A-41A9-919F-B454E6ACCD6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32"/>
  <sheetViews>
    <sheetView tabSelected="1" topLeftCell="BR10" zoomScaleNormal="100" workbookViewId="0">
      <selection activeCell="CF16" sqref="CF16"/>
    </sheetView>
  </sheetViews>
  <sheetFormatPr defaultColWidth="9.140625" defaultRowHeight="15" x14ac:dyDescent="0.25"/>
  <cols>
    <col min="1" max="1" width="9.140625" style="8"/>
    <col min="2" max="2" width="15.5703125" style="8" customWidth="1"/>
    <col min="3" max="3" width="12.5703125" style="8" customWidth="1"/>
    <col min="4" max="4" width="31.5703125" style="8" customWidth="1"/>
    <col min="5" max="5" width="25.85546875" style="8" customWidth="1"/>
    <col min="6" max="6" width="29.42578125" style="8" customWidth="1"/>
    <col min="7" max="7" width="9.140625" style="8"/>
    <col min="8" max="8" width="20.140625" style="8" customWidth="1"/>
    <col min="9" max="10" width="17.5703125" style="8" customWidth="1"/>
    <col min="11" max="11" width="15.7109375" style="8" customWidth="1"/>
    <col min="12" max="12" width="12" style="8" customWidth="1"/>
    <col min="13" max="13" width="17.28515625" style="8" customWidth="1"/>
    <col min="14" max="14" width="12.42578125" style="8" customWidth="1"/>
    <col min="15" max="18" width="9.140625" style="8"/>
    <col min="19" max="19" width="13.28515625" style="8" customWidth="1"/>
    <col min="20" max="20" width="9.140625" style="8"/>
    <col min="21" max="21" width="12.28515625" style="8" customWidth="1"/>
    <col min="22" max="22" width="13.7109375" style="8" customWidth="1"/>
    <col min="23" max="23" width="12.28515625" style="8" customWidth="1"/>
    <col min="24" max="24" width="16" style="8" customWidth="1"/>
    <col min="25" max="25" width="12.42578125" style="8" customWidth="1"/>
    <col min="26" max="26" width="9.140625" style="8"/>
    <col min="27" max="27" width="13.42578125" style="8" customWidth="1"/>
    <col min="28" max="28" width="9.140625" style="8"/>
    <col min="29" max="29" width="9.5703125" style="8" bestFit="1" customWidth="1"/>
    <col min="30" max="30" width="12" style="8" customWidth="1"/>
    <col min="31" max="31" width="12.7109375" style="8" customWidth="1"/>
    <col min="32" max="32" width="13" style="8" customWidth="1"/>
    <col min="33" max="33" width="17.5703125" style="8" customWidth="1"/>
    <col min="34" max="34" width="10.28515625" style="8" bestFit="1" customWidth="1"/>
    <col min="35" max="35" width="13" style="8" customWidth="1"/>
    <col min="36" max="36" width="15.85546875" style="8" customWidth="1"/>
    <col min="37" max="37" width="9.140625" style="8"/>
    <col min="38" max="38" width="15.7109375" style="8" customWidth="1"/>
    <col min="39" max="39" width="18.85546875" style="8" customWidth="1"/>
    <col min="40" max="40" width="12.7109375" style="8" customWidth="1"/>
    <col min="41" max="41" width="17.85546875" style="8" customWidth="1"/>
    <col min="42" max="42" width="20" style="8" customWidth="1"/>
    <col min="43" max="43" width="9.140625" style="8"/>
    <col min="44" max="44" width="14.140625" style="8" customWidth="1"/>
    <col min="45" max="45" width="10.7109375" style="8" customWidth="1"/>
    <col min="46" max="46" width="16.140625" style="8" customWidth="1"/>
    <col min="47" max="47" width="14.140625" style="8" customWidth="1"/>
    <col min="48" max="49" width="9.140625" style="8"/>
    <col min="50" max="50" width="22.28515625" style="8" customWidth="1"/>
    <col min="51" max="58" width="9.140625" style="8"/>
    <col min="59" max="59" width="19.7109375" style="8" customWidth="1"/>
    <col min="60" max="60" width="9.140625" style="8"/>
    <col min="61" max="61" width="10.42578125" style="8" bestFit="1" customWidth="1"/>
    <col min="62" max="62" width="21.28515625" style="8" customWidth="1"/>
    <col min="63" max="63" width="16" style="8" customWidth="1"/>
    <col min="64" max="64" width="27" style="8" customWidth="1"/>
    <col min="65" max="65" width="11.28515625" style="8" bestFit="1" customWidth="1"/>
    <col min="66" max="69" width="9.140625" style="8"/>
    <col min="70" max="75" width="11.28515625" style="8" bestFit="1" customWidth="1"/>
    <col min="76" max="79" width="9.140625" style="8"/>
    <col min="80" max="80" width="10.42578125" style="8" bestFit="1" customWidth="1"/>
    <col min="81" max="81" width="16" style="8" customWidth="1"/>
    <col min="82" max="82" width="9.140625" style="8"/>
    <col min="83" max="83" width="19.85546875" style="8" customWidth="1"/>
    <col min="84" max="84" width="9.140625" style="8"/>
    <col min="85" max="85" width="10.42578125" style="8" bestFit="1" customWidth="1"/>
    <col min="86" max="16384" width="9.140625" style="8"/>
  </cols>
  <sheetData>
    <row r="1" spans="1:86" ht="82.5" customHeight="1" x14ac:dyDescent="0.25">
      <c r="A1" s="1" t="s">
        <v>0</v>
      </c>
      <c r="B1" s="1" t="s">
        <v>1</v>
      </c>
      <c r="C1" s="1" t="s">
        <v>2</v>
      </c>
      <c r="D1" s="1" t="s">
        <v>3</v>
      </c>
      <c r="E1" s="1" t="s">
        <v>4</v>
      </c>
      <c r="F1" s="3" t="s">
        <v>5</v>
      </c>
      <c r="G1" s="1" t="s">
        <v>6</v>
      </c>
      <c r="H1" s="1" t="s">
        <v>7</v>
      </c>
      <c r="I1" s="1" t="s">
        <v>8</v>
      </c>
      <c r="J1" s="1" t="s">
        <v>9</v>
      </c>
      <c r="K1" s="1" t="s">
        <v>10</v>
      </c>
      <c r="L1" s="1" t="s">
        <v>11</v>
      </c>
      <c r="M1" s="1" t="s">
        <v>12</v>
      </c>
      <c r="N1" s="1" t="s">
        <v>13</v>
      </c>
      <c r="O1" s="1" t="s">
        <v>14</v>
      </c>
      <c r="P1" s="1" t="s">
        <v>15</v>
      </c>
      <c r="Q1" s="4" t="s">
        <v>16</v>
      </c>
      <c r="R1" s="4" t="s">
        <v>17</v>
      </c>
      <c r="S1" s="4" t="s">
        <v>18</v>
      </c>
      <c r="T1" s="4"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5" t="s">
        <v>37</v>
      </c>
      <c r="AM1" s="5"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row>
    <row r="2" spans="1:86" ht="54.75" customHeight="1" x14ac:dyDescent="0.25">
      <c r="A2" s="8">
        <v>1</v>
      </c>
      <c r="B2" s="11" t="s">
        <v>111</v>
      </c>
      <c r="C2" s="31">
        <v>46100</v>
      </c>
      <c r="D2" s="23" t="s">
        <v>98</v>
      </c>
      <c r="E2" s="28" t="s">
        <v>162</v>
      </c>
      <c r="F2" s="49" t="s">
        <v>265</v>
      </c>
      <c r="G2" s="11" t="s">
        <v>274</v>
      </c>
      <c r="H2" s="2" t="s">
        <v>126</v>
      </c>
      <c r="I2" s="11" t="s">
        <v>155</v>
      </c>
      <c r="J2" s="11" t="s">
        <v>242</v>
      </c>
      <c r="K2" s="11">
        <v>76</v>
      </c>
      <c r="L2" s="9" t="s">
        <v>88</v>
      </c>
      <c r="M2" s="12" t="s">
        <v>127</v>
      </c>
      <c r="N2" s="11" t="s">
        <v>86</v>
      </c>
      <c r="O2" s="13" t="s">
        <v>145</v>
      </c>
      <c r="P2" s="47" t="s">
        <v>298</v>
      </c>
      <c r="Q2" s="15">
        <v>0.02</v>
      </c>
      <c r="R2" s="15">
        <v>8.0000000000000002E-3</v>
      </c>
      <c r="S2" s="15">
        <v>0.02</v>
      </c>
      <c r="T2" s="15">
        <v>8.0000000000000002E-3</v>
      </c>
      <c r="U2" s="7">
        <v>2951781</v>
      </c>
      <c r="V2" s="16" t="s">
        <v>244</v>
      </c>
      <c r="W2" s="33">
        <v>118072</v>
      </c>
      <c r="X2" s="38">
        <v>15</v>
      </c>
      <c r="Y2" s="32">
        <v>9944</v>
      </c>
      <c r="Z2" s="38">
        <v>21</v>
      </c>
      <c r="AA2" s="32">
        <v>1318174</v>
      </c>
      <c r="AB2" s="38">
        <v>3</v>
      </c>
      <c r="AC2" s="32">
        <v>0</v>
      </c>
      <c r="AD2" s="32">
        <v>1436246</v>
      </c>
      <c r="AE2" s="32">
        <v>1436246</v>
      </c>
      <c r="AF2" s="32">
        <v>16575</v>
      </c>
      <c r="AG2" s="32">
        <v>2889067</v>
      </c>
      <c r="AH2" s="32">
        <v>2889067</v>
      </c>
      <c r="AI2" s="23" t="s">
        <v>287</v>
      </c>
      <c r="AJ2" s="23" t="s">
        <v>290</v>
      </c>
      <c r="AK2" s="27" t="s">
        <v>294</v>
      </c>
      <c r="AL2" s="18" t="s">
        <v>178</v>
      </c>
      <c r="AM2" s="19" t="s">
        <v>179</v>
      </c>
      <c r="AN2" s="19" t="s">
        <v>180</v>
      </c>
      <c r="AO2" s="19" t="s">
        <v>181</v>
      </c>
      <c r="AP2" s="37" t="s">
        <v>245</v>
      </c>
      <c r="AQ2" s="37">
        <v>36</v>
      </c>
      <c r="AR2" t="s">
        <v>257</v>
      </c>
      <c r="AS2" s="8" t="s">
        <v>249</v>
      </c>
      <c r="AT2" s="8" t="s">
        <v>273</v>
      </c>
      <c r="AU2" s="8" t="s">
        <v>272</v>
      </c>
      <c r="AV2" s="8">
        <v>130000</v>
      </c>
      <c r="AX2" s="8" t="s">
        <v>275</v>
      </c>
      <c r="AY2" s="11">
        <v>1</v>
      </c>
      <c r="AZ2" s="11">
        <v>1</v>
      </c>
      <c r="BA2" s="11">
        <v>1</v>
      </c>
      <c r="BB2" s="11">
        <v>2</v>
      </c>
      <c r="BC2" s="11">
        <v>0</v>
      </c>
      <c r="BD2" s="11">
        <v>0</v>
      </c>
      <c r="BE2" s="11">
        <v>0</v>
      </c>
      <c r="BF2" s="11">
        <v>0</v>
      </c>
      <c r="BH2" s="39" t="s">
        <v>111</v>
      </c>
      <c r="BI2" s="43">
        <v>46025</v>
      </c>
      <c r="BJ2" s="8" t="s">
        <v>266</v>
      </c>
      <c r="BK2" s="8" t="s">
        <v>267</v>
      </c>
      <c r="BL2" s="8" t="s">
        <v>276</v>
      </c>
      <c r="BM2" s="11" t="s">
        <v>268</v>
      </c>
      <c r="BN2" s="11" t="s">
        <v>252</v>
      </c>
      <c r="BO2" s="11" t="s">
        <v>252</v>
      </c>
      <c r="BP2" s="11" t="s">
        <v>252</v>
      </c>
      <c r="BQ2" s="11" t="s">
        <v>252</v>
      </c>
      <c r="BR2" s="11" t="s">
        <v>252</v>
      </c>
      <c r="BS2" s="11" t="s">
        <v>252</v>
      </c>
      <c r="BT2" s="11" t="s">
        <v>252</v>
      </c>
      <c r="BU2" s="11" t="s">
        <v>252</v>
      </c>
      <c r="BV2" s="11" t="s">
        <v>252</v>
      </c>
      <c r="BW2" s="11" t="s">
        <v>252</v>
      </c>
      <c r="BX2" s="11" t="s">
        <v>252</v>
      </c>
      <c r="BY2" s="11" t="s">
        <v>252</v>
      </c>
      <c r="BZ2" s="11" t="s">
        <v>252</v>
      </c>
      <c r="CA2" s="54" t="s">
        <v>269</v>
      </c>
      <c r="CB2" s="55">
        <v>46145</v>
      </c>
      <c r="CC2" s="11" t="s">
        <v>270</v>
      </c>
      <c r="CD2" s="11" t="s">
        <v>267</v>
      </c>
      <c r="CE2" s="11" t="s">
        <v>282</v>
      </c>
      <c r="CF2" s="11" t="s">
        <v>299</v>
      </c>
    </row>
    <row r="3" spans="1:86" ht="62.25" customHeight="1" x14ac:dyDescent="0.25">
      <c r="A3" s="8">
        <v>2</v>
      </c>
      <c r="B3" s="11" t="s">
        <v>111</v>
      </c>
      <c r="C3" s="31">
        <v>46100</v>
      </c>
      <c r="D3" s="20" t="s">
        <v>98</v>
      </c>
      <c r="E3" s="28" t="s">
        <v>162</v>
      </c>
      <c r="F3" s="49" t="s">
        <v>265</v>
      </c>
      <c r="G3" s="11" t="s">
        <v>274</v>
      </c>
      <c r="H3" s="2" t="s">
        <v>126</v>
      </c>
      <c r="I3" s="11" t="s">
        <v>155</v>
      </c>
      <c r="J3" s="11" t="s">
        <v>242</v>
      </c>
      <c r="K3" s="11">
        <v>76</v>
      </c>
      <c r="L3" s="9" t="s">
        <v>88</v>
      </c>
      <c r="M3" s="12" t="s">
        <v>128</v>
      </c>
      <c r="N3" s="11" t="s">
        <v>86</v>
      </c>
      <c r="O3" s="13" t="s">
        <v>145</v>
      </c>
      <c r="P3" s="47" t="s">
        <v>298</v>
      </c>
      <c r="Q3" s="15">
        <v>4.3999999999999997E-2</v>
      </c>
      <c r="R3" s="15">
        <v>1.7999999999999999E-2</v>
      </c>
      <c r="S3" s="15">
        <v>4.3999999999999997E-2</v>
      </c>
      <c r="T3" s="15">
        <v>1.7999999999999999E-2</v>
      </c>
      <c r="U3" s="7">
        <v>2951781</v>
      </c>
      <c r="V3" s="34">
        <v>129878</v>
      </c>
      <c r="W3" s="33">
        <v>259756</v>
      </c>
      <c r="X3" s="38">
        <v>15</v>
      </c>
      <c r="Y3" s="32">
        <v>9944</v>
      </c>
      <c r="Z3" s="38">
        <v>21</v>
      </c>
      <c r="AA3" s="32">
        <v>184914</v>
      </c>
      <c r="AB3" s="38">
        <v>3</v>
      </c>
      <c r="AC3" s="32">
        <v>0</v>
      </c>
      <c r="AD3" s="32">
        <v>454614</v>
      </c>
      <c r="AE3" s="32">
        <v>454614</v>
      </c>
      <c r="AF3" s="32">
        <v>36465</v>
      </c>
      <c r="AG3" s="32">
        <v>945693</v>
      </c>
      <c r="AH3" s="32">
        <v>945693</v>
      </c>
      <c r="AI3" s="23" t="s">
        <v>287</v>
      </c>
      <c r="AJ3" s="23" t="s">
        <v>290</v>
      </c>
      <c r="AK3" s="27" t="s">
        <v>294</v>
      </c>
      <c r="AL3" s="21"/>
      <c r="AM3" s="22"/>
      <c r="AN3" s="22"/>
      <c r="AO3" s="22"/>
      <c r="AP3" s="37" t="s">
        <v>245</v>
      </c>
      <c r="AQ3" s="37">
        <v>36</v>
      </c>
      <c r="AR3" t="s">
        <v>257</v>
      </c>
      <c r="AS3" s="8" t="s">
        <v>249</v>
      </c>
      <c r="AT3" s="8" t="s">
        <v>273</v>
      </c>
      <c r="AU3" s="8" t="s">
        <v>272</v>
      </c>
      <c r="AV3" s="8">
        <v>130000</v>
      </c>
      <c r="AX3" s="8" t="s">
        <v>275</v>
      </c>
      <c r="AY3" s="11">
        <v>1</v>
      </c>
      <c r="AZ3" s="11">
        <v>1</v>
      </c>
      <c r="BA3" s="11">
        <v>1</v>
      </c>
      <c r="BB3" s="11">
        <v>2</v>
      </c>
      <c r="BC3" s="11">
        <v>0</v>
      </c>
      <c r="BD3" s="11">
        <v>0</v>
      </c>
      <c r="BE3" s="11">
        <v>1</v>
      </c>
      <c r="BF3" s="11">
        <v>0</v>
      </c>
      <c r="BH3" s="39" t="s">
        <v>111</v>
      </c>
      <c r="BI3" s="43">
        <v>46025</v>
      </c>
      <c r="BJ3" s="8" t="s">
        <v>266</v>
      </c>
      <c r="BK3" s="8" t="s">
        <v>267</v>
      </c>
      <c r="BL3" s="8" t="s">
        <v>276</v>
      </c>
      <c r="BM3" s="11" t="s">
        <v>268</v>
      </c>
      <c r="BN3" s="11" t="s">
        <v>252</v>
      </c>
      <c r="BO3" s="11" t="s">
        <v>252</v>
      </c>
      <c r="BP3" s="11" t="s">
        <v>252</v>
      </c>
      <c r="BQ3" s="11" t="s">
        <v>252</v>
      </c>
      <c r="BR3" s="11" t="s">
        <v>252</v>
      </c>
      <c r="BS3" s="11" t="s">
        <v>252</v>
      </c>
      <c r="BT3" s="11" t="s">
        <v>252</v>
      </c>
      <c r="BU3" s="11" t="s">
        <v>252</v>
      </c>
      <c r="BV3" s="11" t="s">
        <v>252</v>
      </c>
      <c r="BW3" s="11" t="s">
        <v>252</v>
      </c>
      <c r="BX3" s="11" t="s">
        <v>252</v>
      </c>
      <c r="BY3" s="11" t="s">
        <v>252</v>
      </c>
      <c r="BZ3" s="11" t="s">
        <v>252</v>
      </c>
      <c r="CA3" s="54" t="s">
        <v>269</v>
      </c>
      <c r="CB3" s="55">
        <v>46145</v>
      </c>
      <c r="CC3" s="11" t="s">
        <v>270</v>
      </c>
      <c r="CD3" s="11" t="s">
        <v>267</v>
      </c>
      <c r="CE3" s="11" t="s">
        <v>282</v>
      </c>
      <c r="CF3" s="11" t="s">
        <v>300</v>
      </c>
    </row>
    <row r="4" spans="1:86" ht="45" x14ac:dyDescent="0.25">
      <c r="A4" s="8">
        <v>3</v>
      </c>
      <c r="B4" s="11" t="s">
        <v>112</v>
      </c>
      <c r="C4" s="31">
        <v>46100</v>
      </c>
      <c r="D4" s="23" t="s">
        <v>98</v>
      </c>
      <c r="E4" s="8" t="s">
        <v>162</v>
      </c>
      <c r="F4" s="50" t="s">
        <v>265</v>
      </c>
      <c r="G4" s="8" t="s">
        <v>274</v>
      </c>
      <c r="H4" s="2" t="s">
        <v>126</v>
      </c>
      <c r="I4" s="11" t="s">
        <v>155</v>
      </c>
      <c r="J4" s="11" t="s">
        <v>242</v>
      </c>
      <c r="K4" s="11">
        <v>76</v>
      </c>
      <c r="L4" s="11" t="s">
        <v>89</v>
      </c>
      <c r="M4" s="12">
        <v>1319</v>
      </c>
      <c r="N4" s="11" t="s">
        <v>86</v>
      </c>
      <c r="O4" s="13" t="s">
        <v>145</v>
      </c>
      <c r="P4" s="14"/>
      <c r="Q4" s="15">
        <v>3.5000000000000003E-2</v>
      </c>
      <c r="R4" s="15">
        <v>1.4E-2</v>
      </c>
      <c r="S4" s="15">
        <v>3.5000000000000003E-2</v>
      </c>
      <c r="T4" s="15">
        <v>1.4E-2</v>
      </c>
      <c r="U4" s="7">
        <v>2951781</v>
      </c>
      <c r="V4" s="34">
        <v>103312</v>
      </c>
      <c r="W4" s="33">
        <v>206624</v>
      </c>
      <c r="X4" s="38">
        <v>17</v>
      </c>
      <c r="Y4" s="32">
        <v>0</v>
      </c>
      <c r="Z4" s="35"/>
      <c r="AA4" s="32">
        <v>380187</v>
      </c>
      <c r="AB4" s="35">
        <v>8</v>
      </c>
      <c r="AC4" s="32">
        <v>422890</v>
      </c>
      <c r="AD4" s="32">
        <v>1009701</v>
      </c>
      <c r="AE4" s="32">
        <v>1009701</v>
      </c>
      <c r="AF4" s="32">
        <v>29007</v>
      </c>
      <c r="AG4" s="32">
        <v>2048409</v>
      </c>
      <c r="AH4" s="17"/>
      <c r="AK4" s="27" t="s">
        <v>293</v>
      </c>
      <c r="AL4" s="24" t="s">
        <v>178</v>
      </c>
      <c r="AM4" s="8" t="s">
        <v>179</v>
      </c>
      <c r="AN4" s="8" t="s">
        <v>180</v>
      </c>
      <c r="AO4" s="8" t="s">
        <v>181</v>
      </c>
      <c r="AP4" s="37" t="s">
        <v>245</v>
      </c>
      <c r="AR4" t="s">
        <v>257</v>
      </c>
      <c r="AS4" s="8" t="s">
        <v>249</v>
      </c>
      <c r="AT4" s="8" t="s">
        <v>273</v>
      </c>
      <c r="AU4" s="8" t="s">
        <v>272</v>
      </c>
      <c r="AV4" s="8">
        <v>130000</v>
      </c>
      <c r="AX4" s="8" t="s">
        <v>275</v>
      </c>
      <c r="AY4" s="11">
        <v>1</v>
      </c>
      <c r="AZ4" s="11">
        <v>1</v>
      </c>
      <c r="BA4" s="11">
        <v>1</v>
      </c>
      <c r="BB4" s="11">
        <v>2</v>
      </c>
      <c r="BC4" s="11">
        <v>0</v>
      </c>
      <c r="BD4" s="11">
        <v>0</v>
      </c>
      <c r="BE4" s="11">
        <v>1</v>
      </c>
      <c r="BF4" s="11">
        <v>0</v>
      </c>
      <c r="BH4" s="39" t="s">
        <v>111</v>
      </c>
      <c r="BI4" s="43">
        <v>46025</v>
      </c>
      <c r="BJ4" s="8" t="s">
        <v>266</v>
      </c>
      <c r="BK4" s="8" t="s">
        <v>267</v>
      </c>
      <c r="BL4" s="8" t="s">
        <v>276</v>
      </c>
      <c r="BM4" s="11" t="s">
        <v>268</v>
      </c>
      <c r="BN4" s="11" t="s">
        <v>252</v>
      </c>
      <c r="BO4" s="11" t="s">
        <v>252</v>
      </c>
      <c r="BP4" s="11" t="s">
        <v>252</v>
      </c>
      <c r="BQ4" s="11" t="s">
        <v>252</v>
      </c>
      <c r="BR4" s="11" t="s">
        <v>252</v>
      </c>
      <c r="BS4" s="11" t="s">
        <v>252</v>
      </c>
      <c r="BT4" s="11" t="s">
        <v>252</v>
      </c>
      <c r="BU4" s="11" t="s">
        <v>252</v>
      </c>
      <c r="BV4" s="11" t="s">
        <v>252</v>
      </c>
      <c r="BW4" s="11" t="s">
        <v>252</v>
      </c>
      <c r="BX4" s="11" t="s">
        <v>252</v>
      </c>
      <c r="BY4" s="11" t="s">
        <v>252</v>
      </c>
      <c r="BZ4" s="11" t="s">
        <v>252</v>
      </c>
      <c r="CA4" s="54" t="s">
        <v>269</v>
      </c>
      <c r="CB4" s="55">
        <v>46145</v>
      </c>
      <c r="CC4" s="11" t="s">
        <v>270</v>
      </c>
      <c r="CD4" s="11" t="s">
        <v>267</v>
      </c>
      <c r="CE4" s="11" t="s">
        <v>282</v>
      </c>
      <c r="CF4" s="11" t="s">
        <v>299</v>
      </c>
    </row>
    <row r="5" spans="1:86" ht="53.25" customHeight="1" x14ac:dyDescent="0.25">
      <c r="A5" s="8">
        <v>4</v>
      </c>
      <c r="B5" s="11" t="s">
        <v>113</v>
      </c>
      <c r="C5" s="31">
        <v>46100</v>
      </c>
      <c r="D5" s="23" t="s">
        <v>99</v>
      </c>
      <c r="E5" s="8" t="s">
        <v>159</v>
      </c>
      <c r="H5" s="2" t="s">
        <v>126</v>
      </c>
      <c r="I5" s="11" t="s">
        <v>155</v>
      </c>
      <c r="J5" s="11" t="s">
        <v>242</v>
      </c>
      <c r="K5" s="11">
        <v>76</v>
      </c>
      <c r="L5" s="11">
        <v>172</v>
      </c>
      <c r="M5" s="12" t="s">
        <v>129</v>
      </c>
      <c r="N5" s="11" t="s">
        <v>140</v>
      </c>
      <c r="O5" s="13" t="s">
        <v>146</v>
      </c>
      <c r="P5" s="47" t="s">
        <v>297</v>
      </c>
      <c r="Q5" s="45">
        <v>0.2409</v>
      </c>
      <c r="R5" s="15">
        <v>9.7500000000000003E-2</v>
      </c>
      <c r="S5" s="15">
        <v>0.2409</v>
      </c>
      <c r="T5" s="15">
        <v>9.7500000000000003E-2</v>
      </c>
      <c r="U5" s="32">
        <v>2498838</v>
      </c>
      <c r="V5" s="34">
        <v>601970</v>
      </c>
      <c r="W5" s="33">
        <v>1203940</v>
      </c>
      <c r="Y5" s="32">
        <v>0</v>
      </c>
      <c r="Z5" s="35"/>
      <c r="AA5" s="32">
        <v>0</v>
      </c>
      <c r="AB5" s="35"/>
      <c r="AC5" s="32">
        <v>0</v>
      </c>
      <c r="AD5" s="32">
        <v>1203940</v>
      </c>
      <c r="AE5" s="32">
        <v>1203940</v>
      </c>
      <c r="AF5" s="32">
        <v>169013</v>
      </c>
      <c r="AG5" s="32">
        <v>2576893</v>
      </c>
      <c r="AH5" s="52">
        <v>50000</v>
      </c>
      <c r="AI5" s="51" t="s">
        <v>288</v>
      </c>
      <c r="AJ5" s="11" t="s">
        <v>291</v>
      </c>
      <c r="AK5" s="27"/>
      <c r="AL5" s="24" t="s">
        <v>182</v>
      </c>
      <c r="AM5" s="8" t="s">
        <v>179</v>
      </c>
      <c r="AN5" s="8" t="s">
        <v>180</v>
      </c>
      <c r="AO5" s="8" t="s">
        <v>187</v>
      </c>
      <c r="AP5" s="37" t="s">
        <v>246</v>
      </c>
      <c r="AQ5" s="37">
        <v>78</v>
      </c>
      <c r="AR5" s="37" t="s">
        <v>248</v>
      </c>
      <c r="AS5" s="8" t="s">
        <v>249</v>
      </c>
      <c r="AY5" s="11">
        <v>1</v>
      </c>
      <c r="AZ5" s="11">
        <v>1</v>
      </c>
      <c r="BA5" s="11">
        <v>2</v>
      </c>
      <c r="BB5" s="11">
        <v>1</v>
      </c>
      <c r="BC5" s="11">
        <v>0</v>
      </c>
      <c r="BD5" s="11">
        <v>0</v>
      </c>
      <c r="BE5" s="11">
        <v>0</v>
      </c>
      <c r="BF5" s="11">
        <v>2</v>
      </c>
      <c r="BG5" s="56" t="s">
        <v>253</v>
      </c>
      <c r="BH5" s="10" t="s">
        <v>113</v>
      </c>
      <c r="BI5" s="44">
        <v>46037</v>
      </c>
      <c r="BJ5" s="8" t="s">
        <v>278</v>
      </c>
      <c r="BK5" s="8" t="s">
        <v>279</v>
      </c>
      <c r="BL5" s="8" t="s">
        <v>280</v>
      </c>
      <c r="BM5" s="11" t="s">
        <v>252</v>
      </c>
      <c r="BN5" s="11" t="s">
        <v>268</v>
      </c>
      <c r="BO5" s="11" t="s">
        <v>268</v>
      </c>
      <c r="BP5" s="11" t="s">
        <v>268</v>
      </c>
      <c r="BQ5" s="11" t="s">
        <v>268</v>
      </c>
      <c r="BR5" s="11" t="s">
        <v>268</v>
      </c>
      <c r="BS5" s="11" t="s">
        <v>268</v>
      </c>
      <c r="BT5" s="11" t="s">
        <v>268</v>
      </c>
      <c r="BU5" s="11" t="s">
        <v>268</v>
      </c>
      <c r="BV5" s="11" t="s">
        <v>268</v>
      </c>
      <c r="BW5" s="11" t="s">
        <v>268</v>
      </c>
      <c r="BX5" s="11" t="s">
        <v>268</v>
      </c>
      <c r="BY5" s="11" t="s">
        <v>268</v>
      </c>
      <c r="BZ5" s="11" t="s">
        <v>268</v>
      </c>
      <c r="CA5" s="54" t="s">
        <v>269</v>
      </c>
      <c r="CB5" s="55">
        <v>46145</v>
      </c>
      <c r="CC5" s="11" t="s">
        <v>278</v>
      </c>
      <c r="CD5" s="11" t="s">
        <v>279</v>
      </c>
      <c r="CE5" s="11" t="s">
        <v>281</v>
      </c>
      <c r="CF5" s="11" t="s">
        <v>300</v>
      </c>
      <c r="CG5" s="55">
        <v>46102</v>
      </c>
      <c r="CH5" s="11">
        <v>20000</v>
      </c>
    </row>
    <row r="6" spans="1:86" ht="45" x14ac:dyDescent="0.25">
      <c r="A6" s="8">
        <v>5</v>
      </c>
      <c r="B6" s="11" t="s">
        <v>113</v>
      </c>
      <c r="C6" s="31">
        <v>46100</v>
      </c>
      <c r="D6" s="20" t="s">
        <v>99</v>
      </c>
      <c r="E6" s="8" t="s">
        <v>160</v>
      </c>
      <c r="F6" s="48" t="s">
        <v>255</v>
      </c>
      <c r="H6" s="2" t="s">
        <v>126</v>
      </c>
      <c r="I6" s="11" t="s">
        <v>155</v>
      </c>
      <c r="J6" s="11" t="s">
        <v>242</v>
      </c>
      <c r="K6" s="11">
        <v>76</v>
      </c>
      <c r="L6" s="11">
        <v>172</v>
      </c>
      <c r="M6" s="12"/>
      <c r="N6" s="11" t="s">
        <v>140</v>
      </c>
      <c r="O6" s="13" t="s">
        <v>146</v>
      </c>
      <c r="P6" s="14"/>
      <c r="Q6" s="6"/>
      <c r="R6" s="14"/>
      <c r="S6" s="30">
        <v>0.2409</v>
      </c>
      <c r="T6" s="15">
        <v>9.7500000000000003E-2</v>
      </c>
      <c r="U6" s="32">
        <v>2498838</v>
      </c>
      <c r="V6" s="34">
        <v>601970</v>
      </c>
      <c r="W6" s="33">
        <v>1203940</v>
      </c>
      <c r="Y6" s="32"/>
      <c r="Z6" s="35"/>
      <c r="AA6" s="32"/>
      <c r="AB6" s="35"/>
      <c r="AC6" s="32"/>
      <c r="AD6" s="32"/>
      <c r="AE6" s="32"/>
      <c r="AF6" s="32"/>
      <c r="AG6" s="32"/>
      <c r="AH6" s="52">
        <v>40000</v>
      </c>
      <c r="AL6" s="24" t="s">
        <v>183</v>
      </c>
      <c r="AM6" s="8" t="s">
        <v>179</v>
      </c>
      <c r="AN6" s="8" t="s">
        <v>180</v>
      </c>
      <c r="AO6" s="8" t="s">
        <v>188</v>
      </c>
      <c r="AP6" s="37" t="s">
        <v>247</v>
      </c>
      <c r="AQ6" s="37">
        <v>73</v>
      </c>
      <c r="AR6" s="37" t="s">
        <v>248</v>
      </c>
      <c r="AS6" s="8" t="s">
        <v>249</v>
      </c>
      <c r="AY6" s="11">
        <v>1</v>
      </c>
      <c r="AZ6" s="11">
        <v>1</v>
      </c>
      <c r="BA6" s="11">
        <v>2</v>
      </c>
      <c r="BB6" s="11">
        <v>1</v>
      </c>
      <c r="BC6" s="11">
        <v>0</v>
      </c>
      <c r="BD6" s="11">
        <v>0</v>
      </c>
      <c r="BE6" s="11">
        <v>0</v>
      </c>
      <c r="BF6" s="11">
        <v>1</v>
      </c>
      <c r="BG6" s="56" t="s">
        <v>253</v>
      </c>
      <c r="BH6" s="10" t="s">
        <v>113</v>
      </c>
      <c r="BI6" s="44">
        <v>46037</v>
      </c>
      <c r="BJ6" s="8" t="s">
        <v>278</v>
      </c>
      <c r="BK6" s="8" t="s">
        <v>279</v>
      </c>
      <c r="BL6" s="8" t="s">
        <v>280</v>
      </c>
      <c r="BM6" s="11" t="s">
        <v>252</v>
      </c>
      <c r="BN6" s="11" t="s">
        <v>268</v>
      </c>
      <c r="BO6" s="11" t="s">
        <v>268</v>
      </c>
      <c r="BP6" s="11" t="s">
        <v>268</v>
      </c>
      <c r="BQ6" s="11" t="s">
        <v>268</v>
      </c>
      <c r="BR6" s="11" t="s">
        <v>268</v>
      </c>
      <c r="BS6" s="11" t="s">
        <v>268</v>
      </c>
      <c r="BT6" s="11" t="s">
        <v>268</v>
      </c>
      <c r="BU6" s="11" t="s">
        <v>268</v>
      </c>
      <c r="BV6" s="11" t="s">
        <v>268</v>
      </c>
      <c r="BW6" s="11" t="s">
        <v>268</v>
      </c>
      <c r="BX6" s="11" t="s">
        <v>268</v>
      </c>
      <c r="BY6" s="11" t="s">
        <v>268</v>
      </c>
      <c r="BZ6" s="11" t="s">
        <v>268</v>
      </c>
      <c r="CA6" s="54" t="s">
        <v>269</v>
      </c>
      <c r="CB6" s="55">
        <v>46145</v>
      </c>
      <c r="CC6" s="11" t="s">
        <v>278</v>
      </c>
      <c r="CD6" s="11" t="s">
        <v>279</v>
      </c>
      <c r="CE6" s="11" t="s">
        <v>281</v>
      </c>
      <c r="CF6" s="11" t="s">
        <v>299</v>
      </c>
      <c r="CG6" s="55">
        <v>46102</v>
      </c>
      <c r="CH6" s="11">
        <v>20000</v>
      </c>
    </row>
    <row r="7" spans="1:86" ht="45" x14ac:dyDescent="0.25">
      <c r="A7" s="8">
        <v>6</v>
      </c>
      <c r="B7" s="20" t="s">
        <v>113</v>
      </c>
      <c r="C7" s="31">
        <v>46100</v>
      </c>
      <c r="D7" s="20" t="s">
        <v>99</v>
      </c>
      <c r="E7" s="11" t="s">
        <v>161</v>
      </c>
      <c r="F7" s="48" t="s">
        <v>254</v>
      </c>
      <c r="H7" s="2" t="s">
        <v>126</v>
      </c>
      <c r="I7" s="11" t="s">
        <v>155</v>
      </c>
      <c r="J7" s="11" t="s">
        <v>242</v>
      </c>
      <c r="K7" s="11">
        <v>76</v>
      </c>
      <c r="L7" s="11">
        <v>172</v>
      </c>
      <c r="M7" s="12"/>
      <c r="N7" s="11" t="s">
        <v>140</v>
      </c>
      <c r="O7" s="13" t="s">
        <v>146</v>
      </c>
      <c r="P7" s="14"/>
      <c r="Q7" s="6"/>
      <c r="R7" s="14"/>
      <c r="S7" s="30">
        <v>0.2409</v>
      </c>
      <c r="T7" s="15">
        <v>9.7500000000000003E-2</v>
      </c>
      <c r="U7" s="32">
        <v>2498838</v>
      </c>
      <c r="V7" s="34">
        <v>601970</v>
      </c>
      <c r="W7" s="33">
        <v>1203940</v>
      </c>
      <c r="Y7" s="32"/>
      <c r="Z7" s="35"/>
      <c r="AA7" s="32"/>
      <c r="AB7" s="35"/>
      <c r="AC7" s="32"/>
      <c r="AD7" s="32"/>
      <c r="AE7" s="32"/>
      <c r="AF7" s="32"/>
      <c r="AG7" s="32"/>
      <c r="AH7" s="52">
        <v>20000</v>
      </c>
      <c r="AL7" s="24" t="s">
        <v>184</v>
      </c>
      <c r="AM7" s="8" t="s">
        <v>179</v>
      </c>
      <c r="AN7" s="8" t="s">
        <v>180</v>
      </c>
      <c r="AO7" s="8" t="s">
        <v>189</v>
      </c>
      <c r="AP7" s="37" t="s">
        <v>256</v>
      </c>
      <c r="AQ7" s="37">
        <v>55</v>
      </c>
      <c r="AR7" s="37" t="s">
        <v>248</v>
      </c>
      <c r="AS7" s="8" t="s">
        <v>249</v>
      </c>
      <c r="AT7" s="8" t="s">
        <v>251</v>
      </c>
      <c r="AU7" s="8" t="s">
        <v>250</v>
      </c>
      <c r="AX7" s="27" t="s">
        <v>283</v>
      </c>
      <c r="AY7" s="11">
        <v>2</v>
      </c>
      <c r="AZ7" s="11">
        <v>1</v>
      </c>
      <c r="BA7" s="11">
        <v>1</v>
      </c>
      <c r="BB7" s="11">
        <v>1</v>
      </c>
      <c r="BC7" s="11">
        <v>0</v>
      </c>
      <c r="BD7" s="11">
        <v>0</v>
      </c>
      <c r="BE7" s="11">
        <v>0</v>
      </c>
      <c r="BF7" s="11">
        <v>0</v>
      </c>
      <c r="BG7" s="56" t="s">
        <v>253</v>
      </c>
      <c r="BH7" s="10" t="s">
        <v>113</v>
      </c>
      <c r="BI7" s="44">
        <v>46037</v>
      </c>
      <c r="BJ7" s="8" t="s">
        <v>278</v>
      </c>
      <c r="BK7" s="8" t="s">
        <v>279</v>
      </c>
      <c r="BL7" s="8" t="s">
        <v>280</v>
      </c>
      <c r="BM7" s="11" t="s">
        <v>252</v>
      </c>
      <c r="BN7" s="11" t="s">
        <v>268</v>
      </c>
      <c r="BO7" s="11" t="s">
        <v>268</v>
      </c>
      <c r="BP7" s="11" t="s">
        <v>268</v>
      </c>
      <c r="BQ7" s="11" t="s">
        <v>268</v>
      </c>
      <c r="BR7" s="11" t="s">
        <v>268</v>
      </c>
      <c r="BS7" s="11" t="s">
        <v>268</v>
      </c>
      <c r="BT7" s="11" t="s">
        <v>268</v>
      </c>
      <c r="BU7" s="11" t="s">
        <v>268</v>
      </c>
      <c r="BV7" s="11" t="s">
        <v>268</v>
      </c>
      <c r="BW7" s="11" t="s">
        <v>268</v>
      </c>
      <c r="BX7" s="11" t="s">
        <v>268</v>
      </c>
      <c r="BY7" s="11" t="s">
        <v>268</v>
      </c>
      <c r="BZ7" s="11" t="s">
        <v>268</v>
      </c>
      <c r="CA7" s="54" t="s">
        <v>269</v>
      </c>
      <c r="CB7" s="55">
        <v>46145</v>
      </c>
      <c r="CC7" s="11" t="s">
        <v>270</v>
      </c>
      <c r="CD7" s="11" t="s">
        <v>279</v>
      </c>
      <c r="CE7" s="11" t="s">
        <v>281</v>
      </c>
      <c r="CF7" s="11" t="s">
        <v>300</v>
      </c>
      <c r="CG7" s="55">
        <v>46102</v>
      </c>
      <c r="CH7" s="11">
        <v>20000</v>
      </c>
    </row>
    <row r="8" spans="1:86" x14ac:dyDescent="0.25">
      <c r="A8" s="8">
        <v>7</v>
      </c>
      <c r="B8" s="11" t="s">
        <v>114</v>
      </c>
      <c r="C8" s="31">
        <v>46100</v>
      </c>
      <c r="D8" s="23" t="s">
        <v>100</v>
      </c>
      <c r="E8" s="8" t="s">
        <v>100</v>
      </c>
      <c r="H8" s="2" t="s">
        <v>126</v>
      </c>
      <c r="I8" s="11" t="s">
        <v>155</v>
      </c>
      <c r="J8" s="11" t="s">
        <v>242</v>
      </c>
      <c r="K8" s="11">
        <v>76</v>
      </c>
      <c r="L8" s="11" t="s">
        <v>90</v>
      </c>
      <c r="M8" s="12" t="s">
        <v>130</v>
      </c>
      <c r="N8" s="11" t="s">
        <v>141</v>
      </c>
      <c r="O8" s="13" t="s">
        <v>146</v>
      </c>
      <c r="P8" s="14"/>
      <c r="Q8" s="6"/>
      <c r="R8" s="14"/>
      <c r="S8" s="15">
        <v>9.0200000000000002E-2</v>
      </c>
      <c r="T8" s="15">
        <v>3.6499999999999998E-2</v>
      </c>
      <c r="U8" s="32">
        <v>2498838</v>
      </c>
      <c r="V8" s="34">
        <v>225395</v>
      </c>
      <c r="W8" s="33">
        <v>450790</v>
      </c>
      <c r="Y8" s="32">
        <v>0</v>
      </c>
      <c r="Z8" s="35"/>
      <c r="AA8" s="32">
        <v>0</v>
      </c>
      <c r="AB8" s="35"/>
      <c r="AC8" s="32">
        <v>0</v>
      </c>
      <c r="AD8" s="32">
        <v>450790</v>
      </c>
      <c r="AE8" s="32">
        <v>450790</v>
      </c>
      <c r="AF8" s="32">
        <v>63284</v>
      </c>
      <c r="AG8" s="32">
        <v>964864</v>
      </c>
      <c r="AH8" s="17"/>
      <c r="AL8" s="24" t="s">
        <v>191</v>
      </c>
      <c r="AM8" s="8" t="s">
        <v>192</v>
      </c>
      <c r="AN8" s="8" t="s">
        <v>193</v>
      </c>
      <c r="AO8" s="8" t="s">
        <v>190</v>
      </c>
    </row>
    <row r="9" spans="1:86" x14ac:dyDescent="0.25">
      <c r="A9" s="8">
        <v>8</v>
      </c>
      <c r="B9" s="9" t="s">
        <v>115</v>
      </c>
      <c r="C9" s="31">
        <v>46100</v>
      </c>
      <c r="D9" s="23" t="s">
        <v>101</v>
      </c>
      <c r="E9" s="28" t="s">
        <v>101</v>
      </c>
      <c r="H9" s="2" t="s">
        <v>126</v>
      </c>
      <c r="I9" s="11" t="s">
        <v>155</v>
      </c>
      <c r="J9" s="11" t="s">
        <v>242</v>
      </c>
      <c r="K9" s="11">
        <v>76</v>
      </c>
      <c r="L9" s="9" t="s">
        <v>91</v>
      </c>
      <c r="M9" s="11" t="s">
        <v>131</v>
      </c>
      <c r="N9" s="11" t="s">
        <v>142</v>
      </c>
      <c r="O9" s="13" t="s">
        <v>147</v>
      </c>
      <c r="P9" s="14"/>
      <c r="Q9" s="6"/>
      <c r="R9" s="14"/>
      <c r="S9" s="15">
        <v>0</v>
      </c>
      <c r="T9" s="15">
        <v>7.85E-2</v>
      </c>
      <c r="U9" s="32">
        <v>2536416</v>
      </c>
      <c r="V9" s="34">
        <v>492065</v>
      </c>
      <c r="W9" s="33">
        <v>984130</v>
      </c>
      <c r="Y9" s="32">
        <v>0</v>
      </c>
      <c r="Z9" s="35"/>
      <c r="AA9" s="32">
        <v>0</v>
      </c>
      <c r="AB9" s="35"/>
      <c r="AC9" s="32">
        <v>0</v>
      </c>
      <c r="AD9" s="32">
        <v>984130</v>
      </c>
      <c r="AE9" s="32">
        <v>984130</v>
      </c>
      <c r="AF9" s="32">
        <v>138156</v>
      </c>
      <c r="AG9" s="32">
        <v>2106416</v>
      </c>
      <c r="AH9" s="17"/>
      <c r="AL9" s="18" t="s">
        <v>194</v>
      </c>
      <c r="AM9" s="19" t="s">
        <v>179</v>
      </c>
      <c r="AN9" s="19" t="s">
        <v>180</v>
      </c>
      <c r="AO9" s="19" t="s">
        <v>195</v>
      </c>
    </row>
    <row r="10" spans="1:86" x14ac:dyDescent="0.25">
      <c r="A10" s="8">
        <v>9</v>
      </c>
      <c r="B10" s="20" t="s">
        <v>115</v>
      </c>
      <c r="C10" s="31">
        <v>46100</v>
      </c>
      <c r="D10" s="11" t="s">
        <v>101</v>
      </c>
      <c r="E10" s="28" t="s">
        <v>101</v>
      </c>
      <c r="H10" s="2" t="s">
        <v>126</v>
      </c>
      <c r="I10" s="11" t="s">
        <v>155</v>
      </c>
      <c r="J10" s="11" t="s">
        <v>242</v>
      </c>
      <c r="K10" s="11">
        <v>76</v>
      </c>
      <c r="L10" s="9" t="s">
        <v>91</v>
      </c>
      <c r="M10" s="11" t="s">
        <v>132</v>
      </c>
      <c r="N10" s="11" t="s">
        <v>142</v>
      </c>
      <c r="O10" s="13" t="s">
        <v>147</v>
      </c>
      <c r="Q10" s="6"/>
      <c r="R10" s="14"/>
      <c r="S10" s="15">
        <v>0.1426</v>
      </c>
      <c r="T10" s="15">
        <v>5.7700000000000001E-2</v>
      </c>
      <c r="U10" s="32">
        <v>2536416</v>
      </c>
      <c r="V10" s="34">
        <v>361693</v>
      </c>
      <c r="W10" s="33">
        <v>723386</v>
      </c>
      <c r="Y10" s="32">
        <v>0</v>
      </c>
      <c r="Z10" s="35"/>
      <c r="AA10" s="32">
        <v>0</v>
      </c>
      <c r="AB10" s="35"/>
      <c r="AC10" s="32">
        <v>0</v>
      </c>
      <c r="AD10" s="32">
        <v>723386</v>
      </c>
      <c r="AE10" s="32">
        <v>723386</v>
      </c>
      <c r="AF10" s="32">
        <v>101552</v>
      </c>
      <c r="AG10" s="32">
        <v>1548324</v>
      </c>
      <c r="AH10" s="17"/>
      <c r="AL10" s="21"/>
      <c r="AM10" s="22"/>
      <c r="AN10" s="22"/>
      <c r="AO10" s="22"/>
      <c r="AZ10" s="11">
        <v>2</v>
      </c>
      <c r="BA10" s="11">
        <v>3</v>
      </c>
      <c r="BB10" s="11">
        <v>4</v>
      </c>
      <c r="BC10" s="11">
        <v>3</v>
      </c>
      <c r="BD10" s="11">
        <v>4</v>
      </c>
      <c r="BE10" s="11">
        <v>1</v>
      </c>
      <c r="BF10" s="11">
        <v>0</v>
      </c>
    </row>
    <row r="11" spans="1:86" x14ac:dyDescent="0.25">
      <c r="A11" s="8">
        <v>10</v>
      </c>
      <c r="B11" s="9" t="s">
        <v>116</v>
      </c>
      <c r="C11" s="31">
        <v>46100</v>
      </c>
      <c r="D11" s="23" t="s">
        <v>102</v>
      </c>
      <c r="E11" s="19" t="s">
        <v>102</v>
      </c>
      <c r="H11" s="2" t="s">
        <v>126</v>
      </c>
      <c r="I11" s="11" t="s">
        <v>155</v>
      </c>
      <c r="J11" s="11" t="s">
        <v>242</v>
      </c>
      <c r="K11" s="11">
        <v>76</v>
      </c>
      <c r="L11" s="9" t="s">
        <v>92</v>
      </c>
      <c r="M11" s="11" t="s">
        <v>133</v>
      </c>
      <c r="N11" s="11" t="s">
        <v>143</v>
      </c>
      <c r="O11" s="13" t="s">
        <v>148</v>
      </c>
      <c r="Q11" s="6"/>
      <c r="R11" s="14"/>
      <c r="S11" s="15">
        <v>3.6999999999999998E-2</v>
      </c>
      <c r="T11" s="15">
        <v>1.4999999999999999E-2</v>
      </c>
      <c r="U11" s="32">
        <v>2303422</v>
      </c>
      <c r="V11" s="34">
        <v>85227</v>
      </c>
      <c r="W11" s="33">
        <v>170454</v>
      </c>
      <c r="Y11" s="32">
        <v>0</v>
      </c>
      <c r="Z11" s="35"/>
      <c r="AA11" s="32">
        <v>0</v>
      </c>
      <c r="AB11" s="35"/>
      <c r="AC11" s="32">
        <v>0</v>
      </c>
      <c r="AD11" s="32">
        <v>170454</v>
      </c>
      <c r="AE11" s="32">
        <v>170454</v>
      </c>
      <c r="AF11" s="32">
        <v>23929</v>
      </c>
      <c r="AG11" s="32">
        <v>364837</v>
      </c>
      <c r="AH11" s="17"/>
      <c r="AL11" s="18" t="s">
        <v>197</v>
      </c>
      <c r="AM11" s="19" t="s">
        <v>179</v>
      </c>
      <c r="AN11" s="19" t="s">
        <v>180</v>
      </c>
      <c r="AO11" s="19" t="s">
        <v>196</v>
      </c>
    </row>
    <row r="12" spans="1:86" x14ac:dyDescent="0.25">
      <c r="A12" s="8">
        <v>11</v>
      </c>
      <c r="B12" s="20" t="s">
        <v>116</v>
      </c>
      <c r="C12" s="31">
        <v>46100</v>
      </c>
      <c r="D12" s="20" t="s">
        <v>102</v>
      </c>
      <c r="E12" s="19" t="s">
        <v>102</v>
      </c>
      <c r="H12" s="2" t="s">
        <v>126</v>
      </c>
      <c r="I12" s="11" t="s">
        <v>155</v>
      </c>
      <c r="J12" s="11" t="s">
        <v>242</v>
      </c>
      <c r="K12" s="11">
        <v>76</v>
      </c>
      <c r="L12" s="9" t="s">
        <v>92</v>
      </c>
      <c r="M12" s="11" t="s">
        <v>134</v>
      </c>
      <c r="N12" s="11" t="s">
        <v>143</v>
      </c>
      <c r="O12" s="13" t="s">
        <v>148</v>
      </c>
      <c r="Q12" s="6"/>
      <c r="R12" s="14"/>
      <c r="S12" s="15">
        <v>5.6000000000000001E-2</v>
      </c>
      <c r="T12" s="15">
        <v>2.2499999999999999E-2</v>
      </c>
      <c r="U12" s="32">
        <v>2303422</v>
      </c>
      <c r="V12" s="34">
        <v>128992</v>
      </c>
      <c r="W12" s="33">
        <v>257984</v>
      </c>
      <c r="X12" s="8">
        <v>7</v>
      </c>
      <c r="Y12" s="32">
        <v>34198</v>
      </c>
      <c r="Z12" s="35">
        <v>19</v>
      </c>
      <c r="AA12" s="32">
        <v>0</v>
      </c>
      <c r="AB12" s="35">
        <v>24</v>
      </c>
      <c r="AC12" s="32">
        <v>0</v>
      </c>
      <c r="AD12" s="32">
        <v>292182</v>
      </c>
      <c r="AE12" s="32">
        <v>292182</v>
      </c>
      <c r="AF12" s="32">
        <v>36217</v>
      </c>
      <c r="AG12" s="32">
        <v>620581</v>
      </c>
      <c r="AH12" s="17"/>
      <c r="AL12" s="26"/>
      <c r="AM12" s="25"/>
      <c r="AN12" s="25"/>
      <c r="AO12" s="25"/>
    </row>
    <row r="13" spans="1:86" x14ac:dyDescent="0.25">
      <c r="A13" s="8">
        <v>12</v>
      </c>
      <c r="B13" s="20" t="s">
        <v>116</v>
      </c>
      <c r="C13" s="31">
        <v>46100</v>
      </c>
      <c r="D13" s="20" t="s">
        <v>102</v>
      </c>
      <c r="E13" s="19" t="s">
        <v>102</v>
      </c>
      <c r="H13" s="2" t="s">
        <v>126</v>
      </c>
      <c r="I13" s="11" t="s">
        <v>155</v>
      </c>
      <c r="J13" s="11" t="s">
        <v>242</v>
      </c>
      <c r="K13" s="11">
        <v>76</v>
      </c>
      <c r="L13" s="9" t="s">
        <v>92</v>
      </c>
      <c r="M13" s="11" t="s">
        <v>135</v>
      </c>
      <c r="N13" s="11" t="s">
        <v>143</v>
      </c>
      <c r="O13" s="13" t="s">
        <v>148</v>
      </c>
      <c r="Q13" s="6"/>
      <c r="R13" s="14"/>
      <c r="S13" s="15">
        <v>3.6999999999999998E-2</v>
      </c>
      <c r="T13" s="15">
        <v>1.4999999999999999E-2</v>
      </c>
      <c r="U13" s="32">
        <v>2303422</v>
      </c>
      <c r="V13" s="34">
        <v>85227</v>
      </c>
      <c r="W13" s="33">
        <v>170454</v>
      </c>
      <c r="Y13" s="32">
        <v>0</v>
      </c>
      <c r="Z13" s="35"/>
      <c r="AA13" s="32">
        <v>0</v>
      </c>
      <c r="AB13" s="35"/>
      <c r="AC13" s="32">
        <v>0</v>
      </c>
      <c r="AD13" s="32">
        <v>170454</v>
      </c>
      <c r="AE13" s="32">
        <v>170454</v>
      </c>
      <c r="AF13" s="32">
        <v>23929</v>
      </c>
      <c r="AG13" s="32">
        <v>364837</v>
      </c>
      <c r="AH13" s="17"/>
      <c r="AL13" s="21"/>
      <c r="AM13" s="22"/>
      <c r="AN13" s="22"/>
      <c r="AO13" s="22"/>
      <c r="BF13" s="8">
        <v>0</v>
      </c>
    </row>
    <row r="14" spans="1:86" x14ac:dyDescent="0.25">
      <c r="A14" s="8">
        <v>13</v>
      </c>
      <c r="B14" s="11" t="s">
        <v>117</v>
      </c>
      <c r="C14" s="31">
        <v>46100</v>
      </c>
      <c r="D14" s="23" t="s">
        <v>103</v>
      </c>
      <c r="E14" s="8" t="s">
        <v>103</v>
      </c>
      <c r="H14" s="2" t="s">
        <v>126</v>
      </c>
      <c r="I14" s="11" t="s">
        <v>155</v>
      </c>
      <c r="J14" s="11" t="s">
        <v>242</v>
      </c>
      <c r="K14" s="11">
        <v>76</v>
      </c>
      <c r="L14" s="11" t="s">
        <v>93</v>
      </c>
      <c r="M14" s="11" t="s">
        <v>136</v>
      </c>
      <c r="N14" s="11" t="s">
        <v>140</v>
      </c>
      <c r="O14" s="13" t="s">
        <v>146</v>
      </c>
      <c r="Q14" s="6"/>
      <c r="R14" s="14"/>
      <c r="S14" s="15">
        <v>8.8999999999999996E-2</v>
      </c>
      <c r="T14" s="15">
        <v>3.5999999999999997E-2</v>
      </c>
      <c r="U14" s="32">
        <v>2498838</v>
      </c>
      <c r="V14" s="34">
        <v>222397</v>
      </c>
      <c r="W14" s="33">
        <v>444794</v>
      </c>
      <c r="Y14" s="32">
        <v>0</v>
      </c>
      <c r="Z14" s="35"/>
      <c r="AA14" s="32">
        <v>1487904</v>
      </c>
      <c r="AB14" s="35"/>
      <c r="AC14" s="32">
        <v>112324</v>
      </c>
      <c r="AD14" s="32">
        <v>2045022</v>
      </c>
      <c r="AE14" s="32">
        <v>2045022</v>
      </c>
      <c r="AF14" s="32">
        <v>62442</v>
      </c>
      <c r="AG14" s="32">
        <v>4152486</v>
      </c>
      <c r="AH14" s="17"/>
      <c r="AL14" s="24" t="s">
        <v>199</v>
      </c>
      <c r="AM14" s="8" t="s">
        <v>179</v>
      </c>
      <c r="AN14" s="8" t="s">
        <v>180</v>
      </c>
      <c r="AO14" s="8" t="s">
        <v>198</v>
      </c>
      <c r="BF14" s="8">
        <v>0</v>
      </c>
    </row>
    <row r="15" spans="1:86" ht="45" customHeight="1" x14ac:dyDescent="0.25">
      <c r="A15" s="8">
        <v>14</v>
      </c>
      <c r="B15" s="11" t="s">
        <v>118</v>
      </c>
      <c r="C15" s="31">
        <v>46100</v>
      </c>
      <c r="D15" s="23" t="s">
        <v>104</v>
      </c>
      <c r="E15" s="8" t="s">
        <v>163</v>
      </c>
      <c r="F15" s="42" t="s">
        <v>263</v>
      </c>
      <c r="G15" s="11" t="s">
        <v>264</v>
      </c>
      <c r="H15" s="2" t="s">
        <v>126</v>
      </c>
      <c r="I15" s="11" t="s">
        <v>155</v>
      </c>
      <c r="J15" s="11" t="s">
        <v>242</v>
      </c>
      <c r="K15" s="11">
        <v>76</v>
      </c>
      <c r="L15" s="11" t="s">
        <v>94</v>
      </c>
      <c r="M15" s="11" t="s">
        <v>137</v>
      </c>
      <c r="N15" s="11" t="s">
        <v>86</v>
      </c>
      <c r="O15" s="13" t="s">
        <v>145</v>
      </c>
      <c r="P15" s="27" t="s">
        <v>296</v>
      </c>
      <c r="Q15" s="15">
        <v>3.9E-2</v>
      </c>
      <c r="R15" s="41">
        <v>1.6E-2</v>
      </c>
      <c r="S15" s="15">
        <v>3.9E-2</v>
      </c>
      <c r="T15" s="15">
        <v>1.6E-2</v>
      </c>
      <c r="U15" s="32">
        <v>2951781</v>
      </c>
      <c r="V15" s="34">
        <v>115119</v>
      </c>
      <c r="W15" s="33">
        <v>230238</v>
      </c>
      <c r="Y15" s="32">
        <v>0</v>
      </c>
      <c r="Z15" s="35"/>
      <c r="AA15" s="32">
        <v>0</v>
      </c>
      <c r="AB15" s="35"/>
      <c r="AC15" s="32">
        <v>0</v>
      </c>
      <c r="AD15" s="32">
        <v>230238</v>
      </c>
      <c r="AE15" s="32">
        <v>230238</v>
      </c>
      <c r="AF15" s="32">
        <v>32322</v>
      </c>
      <c r="AG15" s="32">
        <v>492798</v>
      </c>
      <c r="AH15" s="53">
        <v>270000</v>
      </c>
      <c r="AI15" s="46" t="s">
        <v>289</v>
      </c>
      <c r="AJ15" s="11" t="s">
        <v>292</v>
      </c>
      <c r="AK15" s="27" t="s">
        <v>295</v>
      </c>
      <c r="AL15" s="24" t="s">
        <v>202</v>
      </c>
      <c r="AM15" s="8" t="s">
        <v>179</v>
      </c>
      <c r="AN15" s="8" t="s">
        <v>180</v>
      </c>
      <c r="AO15" s="8" t="s">
        <v>200</v>
      </c>
      <c r="AP15" s="40" t="s">
        <v>258</v>
      </c>
      <c r="AQ15" s="40">
        <v>41</v>
      </c>
      <c r="AR15" s="40" t="s">
        <v>260</v>
      </c>
      <c r="AS15" s="8" t="s">
        <v>249</v>
      </c>
      <c r="AT15" s="8" t="s">
        <v>271</v>
      </c>
      <c r="AU15" s="8" t="s">
        <v>261</v>
      </c>
      <c r="AV15" s="8">
        <v>120000</v>
      </c>
      <c r="AZ15" s="11">
        <v>2</v>
      </c>
      <c r="BA15" s="11">
        <v>2</v>
      </c>
      <c r="BB15" s="11">
        <v>1</v>
      </c>
      <c r="BC15" s="11">
        <v>0</v>
      </c>
      <c r="BD15" s="11">
        <v>0</v>
      </c>
      <c r="BE15" s="11">
        <v>1</v>
      </c>
      <c r="BF15" s="11">
        <v>1</v>
      </c>
      <c r="BG15" s="56" t="s">
        <v>284</v>
      </c>
      <c r="BH15" s="10" t="s">
        <v>118</v>
      </c>
      <c r="BI15" s="44">
        <v>46102</v>
      </c>
      <c r="BJ15" s="8" t="s">
        <v>285</v>
      </c>
      <c r="BK15" s="8" t="s">
        <v>279</v>
      </c>
      <c r="BL15" s="8" t="s">
        <v>286</v>
      </c>
      <c r="CF15" s="8" t="s">
        <v>299</v>
      </c>
      <c r="CG15" s="44">
        <v>46106</v>
      </c>
      <c r="CH15" s="8">
        <v>15000</v>
      </c>
    </row>
    <row r="16" spans="1:86" ht="45" x14ac:dyDescent="0.25">
      <c r="A16" s="8">
        <v>15</v>
      </c>
      <c r="B16" s="20" t="s">
        <v>118</v>
      </c>
      <c r="C16" s="31">
        <v>46100</v>
      </c>
      <c r="D16" s="23" t="s">
        <v>104</v>
      </c>
      <c r="E16" s="8" t="s">
        <v>164</v>
      </c>
      <c r="F16" s="42" t="s">
        <v>263</v>
      </c>
      <c r="G16" s="11" t="s">
        <v>264</v>
      </c>
      <c r="H16" s="2" t="s">
        <v>126</v>
      </c>
      <c r="I16" s="11" t="s">
        <v>155</v>
      </c>
      <c r="J16" s="11" t="s">
        <v>242</v>
      </c>
      <c r="K16" s="11">
        <v>76</v>
      </c>
      <c r="L16" s="11" t="s">
        <v>94</v>
      </c>
      <c r="M16" s="11"/>
      <c r="N16" s="11" t="s">
        <v>86</v>
      </c>
      <c r="O16" s="13" t="s">
        <v>145</v>
      </c>
      <c r="P16" s="27" t="s">
        <v>296</v>
      </c>
      <c r="Q16" s="6"/>
      <c r="R16" s="14"/>
      <c r="S16" s="15">
        <v>3.9E-2</v>
      </c>
      <c r="T16" s="15">
        <v>1.6E-2</v>
      </c>
      <c r="U16" s="32">
        <v>2951781</v>
      </c>
      <c r="V16" s="34">
        <v>115119</v>
      </c>
      <c r="W16" s="33">
        <v>230238</v>
      </c>
      <c r="X16" s="8">
        <v>9</v>
      </c>
      <c r="Y16" s="32"/>
      <c r="Z16" s="35"/>
      <c r="AA16" s="32"/>
      <c r="AB16" s="35"/>
      <c r="AC16" s="32"/>
      <c r="AD16" s="32"/>
      <c r="AE16" s="32"/>
      <c r="AF16" s="32"/>
      <c r="AG16" s="32"/>
      <c r="AH16" s="53">
        <v>222000</v>
      </c>
      <c r="AI16" s="46" t="s">
        <v>289</v>
      </c>
      <c r="AJ16" s="11" t="s">
        <v>292</v>
      </c>
      <c r="AL16" s="24" t="s">
        <v>203</v>
      </c>
      <c r="AM16" s="8" t="s">
        <v>185</v>
      </c>
      <c r="AN16" s="8" t="s">
        <v>186</v>
      </c>
      <c r="AO16" s="8" t="s">
        <v>201</v>
      </c>
      <c r="AP16" s="40" t="s">
        <v>259</v>
      </c>
      <c r="AQ16" s="40">
        <v>38</v>
      </c>
      <c r="AR16" s="40" t="s">
        <v>260</v>
      </c>
      <c r="AS16" s="8" t="s">
        <v>249</v>
      </c>
      <c r="AU16" s="8" t="s">
        <v>262</v>
      </c>
      <c r="AV16" s="8">
        <v>120000</v>
      </c>
      <c r="AZ16" s="11">
        <v>2</v>
      </c>
      <c r="BA16" s="11">
        <v>2</v>
      </c>
      <c r="BB16" s="11">
        <v>1</v>
      </c>
      <c r="BC16" s="11">
        <v>0</v>
      </c>
      <c r="BD16" s="11">
        <v>0</v>
      </c>
      <c r="BE16" s="11">
        <v>1</v>
      </c>
      <c r="BF16" s="11">
        <v>0</v>
      </c>
      <c r="BG16" s="56" t="s">
        <v>284</v>
      </c>
      <c r="BH16" s="10" t="s">
        <v>118</v>
      </c>
      <c r="BI16" s="44">
        <v>46102</v>
      </c>
      <c r="BJ16" s="8" t="s">
        <v>285</v>
      </c>
      <c r="BK16" s="8" t="s">
        <v>279</v>
      </c>
      <c r="BL16" s="8" t="s">
        <v>286</v>
      </c>
      <c r="CF16" s="8" t="s">
        <v>300</v>
      </c>
      <c r="CG16" s="44">
        <v>46106</v>
      </c>
      <c r="CH16" s="8">
        <v>15000</v>
      </c>
    </row>
    <row r="17" spans="1:59" ht="15.6" customHeight="1" x14ac:dyDescent="0.25">
      <c r="A17" s="8">
        <v>16</v>
      </c>
      <c r="B17" s="9" t="s">
        <v>119</v>
      </c>
      <c r="C17" s="31">
        <v>46100</v>
      </c>
      <c r="D17" s="10" t="s">
        <v>105</v>
      </c>
      <c r="E17" s="8" t="s">
        <v>165</v>
      </c>
      <c r="H17" s="2" t="s">
        <v>126</v>
      </c>
      <c r="I17" s="11" t="s">
        <v>155</v>
      </c>
      <c r="J17" s="11" t="s">
        <v>242</v>
      </c>
      <c r="K17" s="11">
        <v>76</v>
      </c>
      <c r="L17" s="9">
        <v>46</v>
      </c>
      <c r="M17" s="11">
        <v>257</v>
      </c>
      <c r="N17" s="11" t="s">
        <v>140</v>
      </c>
      <c r="O17" s="13" t="s">
        <v>146</v>
      </c>
      <c r="Q17" s="6"/>
      <c r="R17" s="14"/>
      <c r="S17" s="15">
        <v>3.9E-2</v>
      </c>
      <c r="T17" s="15">
        <v>0.30399999999999999</v>
      </c>
      <c r="U17" s="32">
        <v>2498838</v>
      </c>
      <c r="V17" s="34">
        <v>1877127</v>
      </c>
      <c r="W17" s="33">
        <v>3754254</v>
      </c>
      <c r="Y17" s="32">
        <v>0</v>
      </c>
      <c r="Z17" s="35"/>
      <c r="AA17" s="32">
        <v>0</v>
      </c>
      <c r="AB17" s="35"/>
      <c r="AC17" s="32">
        <v>0</v>
      </c>
      <c r="AD17" s="32">
        <v>3754254</v>
      </c>
      <c r="AE17" s="32">
        <v>3754254</v>
      </c>
      <c r="AF17" s="32">
        <v>527036</v>
      </c>
      <c r="AG17" s="32">
        <v>8035544</v>
      </c>
      <c r="AH17" s="17"/>
      <c r="AL17" s="24" t="s">
        <v>211</v>
      </c>
      <c r="AM17" s="8" t="s">
        <v>212</v>
      </c>
      <c r="AN17" s="8" t="s">
        <v>221</v>
      </c>
      <c r="AO17" s="8" t="s">
        <v>204</v>
      </c>
    </row>
    <row r="18" spans="1:59" x14ac:dyDescent="0.25">
      <c r="A18" s="8">
        <v>17</v>
      </c>
      <c r="B18" s="20" t="s">
        <v>119</v>
      </c>
      <c r="C18" s="31">
        <v>46100</v>
      </c>
      <c r="D18" s="20" t="s">
        <v>105</v>
      </c>
      <c r="E18" s="8" t="s">
        <v>166</v>
      </c>
      <c r="H18" s="2" t="s">
        <v>126</v>
      </c>
      <c r="I18" s="11" t="s">
        <v>155</v>
      </c>
      <c r="J18" s="11" t="s">
        <v>242</v>
      </c>
      <c r="K18" s="11">
        <v>76</v>
      </c>
      <c r="L18" s="9">
        <v>46</v>
      </c>
      <c r="M18" s="11">
        <v>316</v>
      </c>
      <c r="N18" s="11" t="s">
        <v>141</v>
      </c>
      <c r="O18" s="11" t="s">
        <v>146</v>
      </c>
      <c r="Q18" s="6"/>
      <c r="R18" s="14"/>
      <c r="S18" s="15">
        <v>3.9E-2</v>
      </c>
      <c r="T18" s="11">
        <v>3.3500000000000002E-2</v>
      </c>
      <c r="U18" s="32">
        <v>2498838</v>
      </c>
      <c r="V18" s="34">
        <v>206904</v>
      </c>
      <c r="W18" s="33">
        <v>413808</v>
      </c>
      <c r="Y18" s="32">
        <v>0</v>
      </c>
      <c r="Z18" s="35"/>
      <c r="AA18" s="32">
        <v>0</v>
      </c>
      <c r="AB18" s="35"/>
      <c r="AC18" s="32">
        <v>0</v>
      </c>
      <c r="AD18" s="32">
        <v>413808</v>
      </c>
      <c r="AE18" s="32">
        <v>413808</v>
      </c>
      <c r="AF18" s="32">
        <v>58092</v>
      </c>
      <c r="AG18" s="32">
        <v>885708</v>
      </c>
      <c r="AH18" s="17"/>
      <c r="AL18" s="24" t="s">
        <v>213</v>
      </c>
      <c r="AM18" s="8" t="s">
        <v>179</v>
      </c>
      <c r="AN18" s="8" t="s">
        <v>180</v>
      </c>
      <c r="AO18" s="8" t="s">
        <v>205</v>
      </c>
    </row>
    <row r="19" spans="1:59" x14ac:dyDescent="0.25">
      <c r="A19" s="8">
        <v>18</v>
      </c>
      <c r="B19" s="20" t="s">
        <v>119</v>
      </c>
      <c r="C19" s="31">
        <v>46100</v>
      </c>
      <c r="D19" s="20" t="s">
        <v>105</v>
      </c>
      <c r="E19" s="8" t="s">
        <v>167</v>
      </c>
      <c r="H19" s="2" t="s">
        <v>126</v>
      </c>
      <c r="I19" s="11" t="s">
        <v>155</v>
      </c>
      <c r="J19" s="11" t="s">
        <v>242</v>
      </c>
      <c r="K19" s="11">
        <v>76</v>
      </c>
      <c r="L19" s="9">
        <v>46</v>
      </c>
      <c r="M19" s="11">
        <v>317</v>
      </c>
      <c r="N19" s="11" t="s">
        <v>141</v>
      </c>
      <c r="O19" s="11" t="s">
        <v>146</v>
      </c>
      <c r="Q19" s="6"/>
      <c r="R19" s="14"/>
      <c r="S19" s="15">
        <v>3.9E-2</v>
      </c>
      <c r="T19" s="11">
        <v>4.0500000000000001E-2</v>
      </c>
      <c r="U19" s="32">
        <v>2498838</v>
      </c>
      <c r="V19" s="34">
        <v>250134</v>
      </c>
      <c r="W19" s="33">
        <v>500268</v>
      </c>
      <c r="Y19" s="32">
        <v>0</v>
      </c>
      <c r="Z19" s="35"/>
      <c r="AA19" s="32">
        <v>0</v>
      </c>
      <c r="AB19" s="35"/>
      <c r="AC19" s="32">
        <v>0</v>
      </c>
      <c r="AD19" s="32">
        <v>500268</v>
      </c>
      <c r="AE19" s="32">
        <v>500268</v>
      </c>
      <c r="AF19" s="32">
        <v>70229</v>
      </c>
      <c r="AG19" s="32">
        <v>1070765</v>
      </c>
      <c r="AH19" s="17"/>
      <c r="AL19" s="24" t="s">
        <v>214</v>
      </c>
      <c r="AM19" s="8" t="s">
        <v>179</v>
      </c>
      <c r="AN19" s="8" t="s">
        <v>180</v>
      </c>
      <c r="AO19" s="8" t="s">
        <v>206</v>
      </c>
    </row>
    <row r="20" spans="1:59" x14ac:dyDescent="0.25">
      <c r="A20" s="8">
        <v>19</v>
      </c>
      <c r="B20" s="20" t="s">
        <v>119</v>
      </c>
      <c r="C20" s="31">
        <v>46100</v>
      </c>
      <c r="D20" s="20" t="s">
        <v>105</v>
      </c>
      <c r="E20" s="8" t="s">
        <v>168</v>
      </c>
      <c r="H20" s="2" t="s">
        <v>126</v>
      </c>
      <c r="I20" s="11" t="s">
        <v>155</v>
      </c>
      <c r="J20" s="11" t="s">
        <v>242</v>
      </c>
      <c r="K20" s="11">
        <v>76</v>
      </c>
      <c r="L20" s="9">
        <v>46</v>
      </c>
      <c r="M20" s="11">
        <v>318</v>
      </c>
      <c r="N20" s="11" t="s">
        <v>141</v>
      </c>
      <c r="O20" s="11" t="s">
        <v>146</v>
      </c>
      <c r="Q20" s="6"/>
      <c r="R20" s="14"/>
      <c r="S20" s="15">
        <v>3.9E-2</v>
      </c>
      <c r="T20" s="11">
        <v>4.0500000000000001E-2</v>
      </c>
      <c r="U20" s="32">
        <v>2498838</v>
      </c>
      <c r="V20" s="34">
        <v>250134</v>
      </c>
      <c r="W20" s="33">
        <v>500268</v>
      </c>
      <c r="Y20" s="32">
        <v>0</v>
      </c>
      <c r="Z20" s="35"/>
      <c r="AA20" s="32">
        <v>0</v>
      </c>
      <c r="AB20" s="35"/>
      <c r="AC20" s="32">
        <v>0</v>
      </c>
      <c r="AD20" s="32">
        <v>500268</v>
      </c>
      <c r="AE20" s="32">
        <v>500268</v>
      </c>
      <c r="AF20" s="32">
        <v>70229</v>
      </c>
      <c r="AG20" s="32">
        <v>1070765</v>
      </c>
      <c r="AH20" s="17"/>
      <c r="AL20" s="24" t="s">
        <v>215</v>
      </c>
      <c r="AM20" s="8" t="s">
        <v>212</v>
      </c>
      <c r="AN20" s="8" t="s">
        <v>221</v>
      </c>
      <c r="AO20" s="8" t="s">
        <v>207</v>
      </c>
    </row>
    <row r="21" spans="1:59" x14ac:dyDescent="0.25">
      <c r="A21" s="8">
        <v>20</v>
      </c>
      <c r="B21" s="20" t="s">
        <v>119</v>
      </c>
      <c r="C21" s="31">
        <v>46100</v>
      </c>
      <c r="D21" s="20" t="s">
        <v>105</v>
      </c>
      <c r="E21" s="8" t="s">
        <v>169</v>
      </c>
      <c r="H21" s="2" t="s">
        <v>126</v>
      </c>
      <c r="I21" s="11" t="s">
        <v>155</v>
      </c>
      <c r="J21" s="11" t="s">
        <v>242</v>
      </c>
      <c r="K21" s="11">
        <v>76</v>
      </c>
      <c r="L21" s="9">
        <v>46</v>
      </c>
      <c r="M21" s="11">
        <v>319</v>
      </c>
      <c r="N21" s="11" t="s">
        <v>141</v>
      </c>
      <c r="O21" s="11" t="s">
        <v>146</v>
      </c>
      <c r="Q21" s="6"/>
      <c r="R21" s="14"/>
      <c r="S21" s="15">
        <v>3.9E-2</v>
      </c>
      <c r="T21" s="11">
        <v>4.0500000000000001E-2</v>
      </c>
      <c r="U21" s="32">
        <v>2498838</v>
      </c>
      <c r="V21" s="34">
        <v>250134</v>
      </c>
      <c r="W21" s="33">
        <v>500268</v>
      </c>
      <c r="Y21" s="32">
        <v>0</v>
      </c>
      <c r="Z21" s="35"/>
      <c r="AA21" s="32">
        <v>0</v>
      </c>
      <c r="AB21" s="35"/>
      <c r="AC21" s="32">
        <v>0</v>
      </c>
      <c r="AD21" s="32">
        <v>500268</v>
      </c>
      <c r="AE21" s="32">
        <v>500268</v>
      </c>
      <c r="AF21" s="32">
        <v>70229</v>
      </c>
      <c r="AG21" s="32">
        <v>1070765</v>
      </c>
      <c r="AH21" s="17"/>
      <c r="AL21" s="24" t="s">
        <v>216</v>
      </c>
      <c r="AM21" s="8" t="s">
        <v>217</v>
      </c>
      <c r="AN21" s="8" t="s">
        <v>222</v>
      </c>
      <c r="AO21" s="8" t="s">
        <v>208</v>
      </c>
    </row>
    <row r="22" spans="1:59" x14ac:dyDescent="0.25">
      <c r="A22" s="8">
        <v>21</v>
      </c>
      <c r="B22" s="20" t="s">
        <v>119</v>
      </c>
      <c r="C22" s="31">
        <v>46100</v>
      </c>
      <c r="D22" s="20" t="s">
        <v>105</v>
      </c>
      <c r="E22" s="8" t="s">
        <v>170</v>
      </c>
      <c r="H22" s="2" t="s">
        <v>126</v>
      </c>
      <c r="I22" s="11" t="s">
        <v>155</v>
      </c>
      <c r="J22" s="11" t="s">
        <v>242</v>
      </c>
      <c r="K22" s="11">
        <v>76</v>
      </c>
      <c r="L22" s="9">
        <v>46</v>
      </c>
      <c r="M22" s="11">
        <v>320</v>
      </c>
      <c r="N22" s="11" t="s">
        <v>141</v>
      </c>
      <c r="O22" s="11" t="s">
        <v>146</v>
      </c>
      <c r="Q22" s="6"/>
      <c r="R22" s="14"/>
      <c r="S22" s="15">
        <v>3.9E-2</v>
      </c>
      <c r="T22" s="11">
        <v>5.6500000000000002E-2</v>
      </c>
      <c r="U22" s="32">
        <v>2498838</v>
      </c>
      <c r="V22" s="34">
        <v>348838</v>
      </c>
      <c r="W22" s="33">
        <v>697676</v>
      </c>
      <c r="Y22" s="32">
        <v>0</v>
      </c>
      <c r="Z22" s="35"/>
      <c r="AA22" s="32">
        <v>0</v>
      </c>
      <c r="AB22" s="35"/>
      <c r="AC22" s="32">
        <v>325923</v>
      </c>
      <c r="AD22" s="32">
        <v>1023599</v>
      </c>
      <c r="AE22" s="32">
        <v>1023599</v>
      </c>
      <c r="AF22" s="32">
        <v>97942</v>
      </c>
      <c r="AG22" s="32">
        <v>2145140</v>
      </c>
      <c r="AH22" s="17"/>
      <c r="AL22" s="24" t="s">
        <v>218</v>
      </c>
      <c r="AM22" s="8" t="s">
        <v>219</v>
      </c>
      <c r="AN22" s="8" t="s">
        <v>223</v>
      </c>
      <c r="AO22" s="8" t="s">
        <v>209</v>
      </c>
    </row>
    <row r="23" spans="1:59" x14ac:dyDescent="0.25">
      <c r="A23" s="8">
        <v>22</v>
      </c>
      <c r="B23" s="20" t="s">
        <v>119</v>
      </c>
      <c r="C23" s="31">
        <v>46100</v>
      </c>
      <c r="D23" s="20" t="s">
        <v>105</v>
      </c>
      <c r="E23" s="8" t="s">
        <v>171</v>
      </c>
      <c r="H23" s="2" t="s">
        <v>126</v>
      </c>
      <c r="I23" s="11" t="s">
        <v>155</v>
      </c>
      <c r="J23" s="11" t="s">
        <v>242</v>
      </c>
      <c r="K23" s="11">
        <v>76</v>
      </c>
      <c r="L23" s="9">
        <v>46</v>
      </c>
      <c r="M23" s="11">
        <v>321</v>
      </c>
      <c r="N23" s="11" t="s">
        <v>141</v>
      </c>
      <c r="O23" s="11" t="s">
        <v>146</v>
      </c>
      <c r="Q23" s="6"/>
      <c r="R23" s="14"/>
      <c r="S23" s="15">
        <v>3.9E-2</v>
      </c>
      <c r="T23" s="11">
        <v>0.06</v>
      </c>
      <c r="U23" s="32">
        <v>2498838</v>
      </c>
      <c r="V23" s="34">
        <v>370578</v>
      </c>
      <c r="W23" s="33">
        <v>741156</v>
      </c>
      <c r="Y23" s="32">
        <v>0</v>
      </c>
      <c r="Z23" s="35"/>
      <c r="AA23" s="32">
        <v>0</v>
      </c>
      <c r="AB23" s="35"/>
      <c r="AC23" s="32">
        <v>0</v>
      </c>
      <c r="AD23" s="32">
        <v>741156</v>
      </c>
      <c r="AE23" s="32">
        <v>741156</v>
      </c>
      <c r="AF23" s="32">
        <v>104046</v>
      </c>
      <c r="AG23" s="32">
        <v>1586358</v>
      </c>
      <c r="AH23" s="17"/>
      <c r="AL23" s="24" t="s">
        <v>220</v>
      </c>
      <c r="AM23" s="8" t="s">
        <v>219</v>
      </c>
      <c r="AN23" s="8" t="s">
        <v>223</v>
      </c>
      <c r="AO23" s="8" t="s">
        <v>210</v>
      </c>
    </row>
    <row r="24" spans="1:59" x14ac:dyDescent="0.25">
      <c r="A24" s="8">
        <v>23</v>
      </c>
      <c r="B24" s="11" t="s">
        <v>120</v>
      </c>
      <c r="C24" s="31">
        <v>46100</v>
      </c>
      <c r="D24" s="23" t="s">
        <v>106</v>
      </c>
      <c r="E24" s="8" t="s">
        <v>172</v>
      </c>
      <c r="H24" s="2" t="s">
        <v>126</v>
      </c>
      <c r="I24" s="11" t="s">
        <v>155</v>
      </c>
      <c r="J24" s="11" t="s">
        <v>242</v>
      </c>
      <c r="K24" s="11">
        <v>76</v>
      </c>
      <c r="L24" s="11" t="s">
        <v>95</v>
      </c>
      <c r="M24" s="11" t="s">
        <v>138</v>
      </c>
      <c r="N24" s="11" t="s">
        <v>143</v>
      </c>
      <c r="O24" s="13" t="s">
        <v>148</v>
      </c>
      <c r="Q24" s="6"/>
      <c r="R24" s="14"/>
      <c r="S24" s="15">
        <v>0.19900000000000001</v>
      </c>
      <c r="T24" s="15">
        <v>8.0500000000000002E-2</v>
      </c>
      <c r="U24" s="32">
        <v>2303422</v>
      </c>
      <c r="V24" s="34">
        <v>458381</v>
      </c>
      <c r="W24" s="33">
        <v>916762</v>
      </c>
      <c r="Y24" s="32">
        <v>75364</v>
      </c>
      <c r="Z24" s="35"/>
      <c r="AA24" s="32">
        <v>0</v>
      </c>
      <c r="AB24" s="35"/>
      <c r="AC24" s="32">
        <v>0</v>
      </c>
      <c r="AD24" s="32">
        <v>992126</v>
      </c>
      <c r="AE24" s="32">
        <v>992126</v>
      </c>
      <c r="AF24" s="32">
        <v>128698</v>
      </c>
      <c r="AG24" s="32">
        <v>2112950</v>
      </c>
      <c r="AH24" s="17"/>
      <c r="AL24" s="24" t="s">
        <v>225</v>
      </c>
      <c r="AM24" s="8" t="s">
        <v>179</v>
      </c>
      <c r="AN24" s="8" t="s">
        <v>180</v>
      </c>
      <c r="AO24" s="8" t="s">
        <v>224</v>
      </c>
    </row>
    <row r="25" spans="1:59" x14ac:dyDescent="0.25">
      <c r="A25" s="8">
        <v>24</v>
      </c>
      <c r="B25" s="9" t="s">
        <v>121</v>
      </c>
      <c r="C25" s="31">
        <v>46100</v>
      </c>
      <c r="D25" s="10" t="s">
        <v>107</v>
      </c>
      <c r="E25" s="28" t="s">
        <v>173</v>
      </c>
      <c r="H25" s="2" t="s">
        <v>126</v>
      </c>
      <c r="I25" s="11" t="s">
        <v>155</v>
      </c>
      <c r="J25" s="11" t="s">
        <v>242</v>
      </c>
      <c r="K25" s="11">
        <v>76</v>
      </c>
      <c r="L25" s="9" t="s">
        <v>96</v>
      </c>
      <c r="M25" s="11" t="s">
        <v>139</v>
      </c>
      <c r="N25" s="11" t="s">
        <v>86</v>
      </c>
      <c r="O25" s="13" t="s">
        <v>145</v>
      </c>
      <c r="Q25" s="6"/>
      <c r="R25" s="14"/>
      <c r="S25" s="15">
        <v>9.9000000000000008E-3</v>
      </c>
      <c r="T25" s="15">
        <v>4.0000000000000001E-3</v>
      </c>
      <c r="U25" s="32">
        <v>2951781</v>
      </c>
      <c r="V25" s="34">
        <v>29223</v>
      </c>
      <c r="W25" s="33">
        <v>58446</v>
      </c>
      <c r="Y25" s="32">
        <v>0</v>
      </c>
      <c r="Z25" s="35"/>
      <c r="AA25" s="32">
        <v>0</v>
      </c>
      <c r="AB25" s="35"/>
      <c r="AC25" s="32">
        <v>0</v>
      </c>
      <c r="AD25" s="32">
        <v>58446</v>
      </c>
      <c r="AE25" s="32">
        <v>58446</v>
      </c>
      <c r="AF25" s="32">
        <v>8205</v>
      </c>
      <c r="AG25" s="32">
        <v>125097</v>
      </c>
      <c r="AL25" s="18" t="s">
        <v>227</v>
      </c>
      <c r="AM25" s="19" t="s">
        <v>179</v>
      </c>
      <c r="AN25" s="19" t="s">
        <v>180</v>
      </c>
      <c r="AO25" s="19" t="s">
        <v>226</v>
      </c>
    </row>
    <row r="26" spans="1:59" ht="75" customHeight="1" x14ac:dyDescent="0.25">
      <c r="A26" s="8">
        <v>25</v>
      </c>
      <c r="B26" s="9" t="s">
        <v>122</v>
      </c>
      <c r="C26" s="31">
        <v>46100</v>
      </c>
      <c r="D26" s="10" t="s">
        <v>108</v>
      </c>
      <c r="E26" s="8" t="s">
        <v>174</v>
      </c>
      <c r="H26" s="2" t="s">
        <v>126</v>
      </c>
      <c r="I26" s="11" t="s">
        <v>155</v>
      </c>
      <c r="J26" s="11" t="s">
        <v>242</v>
      </c>
      <c r="K26" s="11">
        <v>76</v>
      </c>
      <c r="L26" s="9">
        <v>145</v>
      </c>
      <c r="M26" s="11">
        <v>166</v>
      </c>
      <c r="N26" s="11" t="s">
        <v>140</v>
      </c>
      <c r="O26" s="11" t="s">
        <v>146</v>
      </c>
      <c r="Q26" s="6"/>
      <c r="R26" s="14"/>
      <c r="S26" s="15">
        <f>ROUND(T26*2.471054,4)</f>
        <v>1.8594999999999999</v>
      </c>
      <c r="T26" s="11">
        <v>0.75249999999999995</v>
      </c>
      <c r="U26" s="32">
        <v>2498838</v>
      </c>
      <c r="V26" s="34">
        <v>4646589</v>
      </c>
      <c r="W26" s="33">
        <v>9293178</v>
      </c>
      <c r="Y26" s="32">
        <v>0</v>
      </c>
      <c r="Z26" s="35"/>
      <c r="AA26" s="32">
        <v>0</v>
      </c>
      <c r="AB26" s="35"/>
      <c r="AC26" s="32">
        <v>0</v>
      </c>
      <c r="AD26" s="32">
        <v>9293178</v>
      </c>
      <c r="AE26" s="32">
        <v>9293178</v>
      </c>
      <c r="AF26" s="32">
        <v>1304609</v>
      </c>
      <c r="AG26" s="32">
        <v>19890965</v>
      </c>
      <c r="AL26" s="24" t="s">
        <v>231</v>
      </c>
      <c r="AM26" s="8" t="s">
        <v>179</v>
      </c>
      <c r="AN26" s="8" t="s">
        <v>180</v>
      </c>
      <c r="AO26" s="8" t="s">
        <v>228</v>
      </c>
    </row>
    <row r="27" spans="1:59" x14ac:dyDescent="0.25">
      <c r="A27" s="8">
        <v>26</v>
      </c>
      <c r="B27" s="20" t="s">
        <v>122</v>
      </c>
      <c r="C27" s="31">
        <v>46100</v>
      </c>
      <c r="D27" s="20" t="s">
        <v>108</v>
      </c>
      <c r="E27" s="8" t="s">
        <v>175</v>
      </c>
      <c r="H27" s="2" t="s">
        <v>126</v>
      </c>
      <c r="I27" s="11" t="s">
        <v>155</v>
      </c>
      <c r="J27" s="11" t="s">
        <v>242</v>
      </c>
      <c r="K27" s="11">
        <v>76</v>
      </c>
      <c r="L27" s="9">
        <v>145</v>
      </c>
      <c r="M27" s="11"/>
      <c r="N27" s="11"/>
      <c r="O27" s="11"/>
      <c r="Q27" s="6"/>
      <c r="R27" s="14"/>
      <c r="S27" s="15">
        <f>ROUND(T27*2.471054,4)</f>
        <v>0.69440000000000002</v>
      </c>
      <c r="T27" s="11">
        <v>0.28100000000000003</v>
      </c>
      <c r="U27" s="32">
        <v>2498838</v>
      </c>
      <c r="V27" s="34">
        <v>1735193</v>
      </c>
      <c r="W27" s="33">
        <v>3470386</v>
      </c>
      <c r="Y27" s="32"/>
      <c r="Z27" s="35"/>
      <c r="AA27" s="32"/>
      <c r="AB27" s="35"/>
      <c r="AC27" s="32"/>
      <c r="AD27" s="32"/>
      <c r="AE27" s="32"/>
      <c r="AF27" s="32"/>
      <c r="AG27" s="32"/>
      <c r="AL27" s="24" t="s">
        <v>232</v>
      </c>
      <c r="AM27" s="8" t="s">
        <v>179</v>
      </c>
      <c r="AN27" s="8" t="s">
        <v>180</v>
      </c>
      <c r="AO27" s="8" t="s">
        <v>229</v>
      </c>
      <c r="BG27" s="40" t="s">
        <v>277</v>
      </c>
    </row>
    <row r="28" spans="1:59" x14ac:dyDescent="0.25">
      <c r="A28" s="8">
        <v>27</v>
      </c>
      <c r="B28" s="20" t="s">
        <v>122</v>
      </c>
      <c r="C28" s="31">
        <v>46100</v>
      </c>
      <c r="D28" s="20" t="s">
        <v>108</v>
      </c>
      <c r="E28" s="8" t="s">
        <v>157</v>
      </c>
      <c r="H28" s="2" t="s">
        <v>126</v>
      </c>
      <c r="I28" s="11" t="s">
        <v>155</v>
      </c>
      <c r="J28" s="11" t="s">
        <v>242</v>
      </c>
      <c r="K28" s="11">
        <v>76</v>
      </c>
      <c r="L28" s="9">
        <v>145</v>
      </c>
      <c r="M28" s="11">
        <v>200</v>
      </c>
      <c r="N28" s="11" t="s">
        <v>140</v>
      </c>
      <c r="O28" s="11" t="s">
        <v>146</v>
      </c>
      <c r="Q28" s="6"/>
      <c r="R28" s="14"/>
      <c r="S28" s="29"/>
      <c r="T28" s="11"/>
      <c r="U28" s="7"/>
      <c r="V28" s="34"/>
      <c r="W28" s="33"/>
      <c r="Y28" s="32">
        <v>0</v>
      </c>
      <c r="Z28" s="35"/>
      <c r="AA28" s="32">
        <v>0</v>
      </c>
      <c r="AB28" s="35"/>
      <c r="AC28" s="32">
        <v>0</v>
      </c>
      <c r="AD28" s="32">
        <v>3470386</v>
      </c>
      <c r="AE28" s="32">
        <v>3470386</v>
      </c>
      <c r="AF28" s="32">
        <v>487185</v>
      </c>
      <c r="AG28" s="32">
        <v>7427957</v>
      </c>
      <c r="AL28" s="24" t="s">
        <v>233</v>
      </c>
      <c r="AM28" s="8" t="s">
        <v>179</v>
      </c>
      <c r="AN28" s="8" t="s">
        <v>180</v>
      </c>
      <c r="AO28" s="8" t="s">
        <v>230</v>
      </c>
      <c r="BG28" s="40" t="s">
        <v>277</v>
      </c>
    </row>
    <row r="29" spans="1:59" ht="15.6" customHeight="1" x14ac:dyDescent="0.25">
      <c r="A29" s="8">
        <v>28</v>
      </c>
      <c r="B29" s="9" t="s">
        <v>123</v>
      </c>
      <c r="C29" s="31">
        <v>46100</v>
      </c>
      <c r="D29" s="10" t="s">
        <v>109</v>
      </c>
      <c r="E29" s="8" t="s">
        <v>176</v>
      </c>
      <c r="H29" s="2" t="s">
        <v>126</v>
      </c>
      <c r="I29" s="11" t="s">
        <v>155</v>
      </c>
      <c r="J29" s="11" t="s">
        <v>242</v>
      </c>
      <c r="K29" s="11">
        <v>76</v>
      </c>
      <c r="L29" s="9">
        <v>336</v>
      </c>
      <c r="M29" s="11">
        <v>115</v>
      </c>
      <c r="N29" s="11" t="s">
        <v>87</v>
      </c>
      <c r="O29" s="11" t="s">
        <v>148</v>
      </c>
      <c r="Q29" s="6"/>
      <c r="R29" s="14"/>
      <c r="S29" s="29"/>
      <c r="T29" s="11">
        <v>0.13600000000000001</v>
      </c>
      <c r="U29" s="7" t="s">
        <v>151</v>
      </c>
      <c r="V29" s="34" t="s">
        <v>152</v>
      </c>
      <c r="W29" s="33">
        <v>1548360</v>
      </c>
      <c r="Y29" s="32">
        <v>0</v>
      </c>
      <c r="Z29" s="35"/>
      <c r="AA29" s="32">
        <v>0</v>
      </c>
      <c r="AB29" s="35"/>
      <c r="AC29" s="32">
        <v>0</v>
      </c>
      <c r="AD29" s="32">
        <v>1548360</v>
      </c>
      <c r="AE29" s="32">
        <v>1548360</v>
      </c>
      <c r="AF29" s="32">
        <v>217364</v>
      </c>
      <c r="AG29" s="32">
        <v>3314084</v>
      </c>
      <c r="AL29" s="24" t="s">
        <v>236</v>
      </c>
      <c r="AM29" s="11" t="s">
        <v>179</v>
      </c>
      <c r="AN29" s="11" t="s">
        <v>180</v>
      </c>
      <c r="AO29" s="8" t="s">
        <v>234</v>
      </c>
    </row>
    <row r="30" spans="1:59" x14ac:dyDescent="0.25">
      <c r="A30" s="8">
        <v>29</v>
      </c>
      <c r="B30" s="20" t="s">
        <v>123</v>
      </c>
      <c r="C30" s="31">
        <v>46100</v>
      </c>
      <c r="D30" s="20" t="s">
        <v>109</v>
      </c>
      <c r="E30" s="8" t="s">
        <v>177</v>
      </c>
      <c r="H30" s="2" t="s">
        <v>126</v>
      </c>
      <c r="I30" s="11" t="s">
        <v>155</v>
      </c>
      <c r="J30" s="11" t="s">
        <v>242</v>
      </c>
      <c r="K30" s="11">
        <v>76</v>
      </c>
      <c r="L30" s="9">
        <v>336</v>
      </c>
      <c r="M30" s="11">
        <v>116</v>
      </c>
      <c r="N30" s="11" t="s">
        <v>140</v>
      </c>
      <c r="O30" s="11" t="s">
        <v>146</v>
      </c>
      <c r="Q30" s="6"/>
      <c r="R30" s="14"/>
      <c r="S30" s="29"/>
      <c r="T30" s="11">
        <v>0.82850000000000001</v>
      </c>
      <c r="U30" s="7" t="s">
        <v>149</v>
      </c>
      <c r="V30" s="34" t="s">
        <v>154</v>
      </c>
      <c r="W30" s="33">
        <v>10231742</v>
      </c>
      <c r="Y30" s="32">
        <v>1255840</v>
      </c>
      <c r="Z30" s="35"/>
      <c r="AA30" s="32">
        <v>0</v>
      </c>
      <c r="AB30" s="35"/>
      <c r="AC30" s="32">
        <v>0</v>
      </c>
      <c r="AD30" s="32">
        <v>11487582</v>
      </c>
      <c r="AE30" s="32">
        <v>11487582</v>
      </c>
      <c r="AF30" s="32">
        <v>1436368</v>
      </c>
      <c r="AG30" s="32">
        <v>24411532</v>
      </c>
      <c r="AL30" s="24" t="s">
        <v>237</v>
      </c>
      <c r="AM30" s="8" t="s">
        <v>185</v>
      </c>
      <c r="AN30" s="8" t="s">
        <v>186</v>
      </c>
      <c r="AO30" s="8" t="s">
        <v>235</v>
      </c>
    </row>
    <row r="31" spans="1:59" ht="45" customHeight="1" x14ac:dyDescent="0.25">
      <c r="A31" s="8">
        <v>30</v>
      </c>
      <c r="B31" s="11" t="s">
        <v>124</v>
      </c>
      <c r="C31" s="31">
        <v>46100</v>
      </c>
      <c r="D31" s="23" t="s">
        <v>110</v>
      </c>
      <c r="E31" s="8" t="s">
        <v>110</v>
      </c>
      <c r="H31" s="2" t="s">
        <v>126</v>
      </c>
      <c r="I31" s="11" t="s">
        <v>155</v>
      </c>
      <c r="J31" s="11" t="s">
        <v>242</v>
      </c>
      <c r="K31" s="11">
        <v>76</v>
      </c>
      <c r="L31" s="11" t="s">
        <v>97</v>
      </c>
      <c r="M31" s="11">
        <v>74</v>
      </c>
      <c r="N31" s="11" t="s">
        <v>144</v>
      </c>
      <c r="O31" s="11" t="s">
        <v>147</v>
      </c>
      <c r="Q31" s="6"/>
      <c r="R31" s="14"/>
      <c r="S31" s="15">
        <v>0.1038</v>
      </c>
      <c r="T31" s="11">
        <v>4.2000000000000003E-2</v>
      </c>
      <c r="U31" s="7" t="s">
        <v>150</v>
      </c>
      <c r="V31" s="34" t="s">
        <v>153</v>
      </c>
      <c r="W31" s="33">
        <v>526560</v>
      </c>
      <c r="Y31" s="32">
        <v>0</v>
      </c>
      <c r="Z31" s="35"/>
      <c r="AA31" s="32">
        <v>0</v>
      </c>
      <c r="AB31" s="35"/>
      <c r="AC31" s="32">
        <v>0</v>
      </c>
      <c r="AD31" s="32">
        <v>526560</v>
      </c>
      <c r="AE31" s="32">
        <v>526560</v>
      </c>
      <c r="AF31" s="32">
        <v>73920</v>
      </c>
      <c r="AG31" s="32">
        <v>1127040</v>
      </c>
      <c r="AL31" s="24" t="s">
        <v>239</v>
      </c>
      <c r="AM31" s="8" t="s">
        <v>179</v>
      </c>
      <c r="AN31" s="8" t="s">
        <v>240</v>
      </c>
      <c r="AO31" s="8" t="s">
        <v>238</v>
      </c>
    </row>
    <row r="32" spans="1:59" ht="110.25" customHeight="1" x14ac:dyDescent="0.25">
      <c r="A32" s="8">
        <v>31</v>
      </c>
      <c r="B32" s="11" t="s">
        <v>125</v>
      </c>
      <c r="D32" s="23" t="s">
        <v>156</v>
      </c>
      <c r="E32" s="8" t="s">
        <v>158</v>
      </c>
      <c r="F32" s="23"/>
      <c r="G32" s="23"/>
      <c r="H32" s="2" t="s">
        <v>241</v>
      </c>
      <c r="I32" s="11" t="s">
        <v>155</v>
      </c>
      <c r="J32" s="23" t="s">
        <v>243</v>
      </c>
      <c r="K32" s="23">
        <v>75</v>
      </c>
      <c r="L32" s="11">
        <v>652</v>
      </c>
      <c r="M32" s="11">
        <v>4504</v>
      </c>
      <c r="N32" s="11" t="s">
        <v>143</v>
      </c>
      <c r="O32" s="13" t="s">
        <v>148</v>
      </c>
      <c r="P32" s="23"/>
      <c r="Q32" s="15"/>
      <c r="R32" s="23"/>
      <c r="S32" s="15">
        <v>0.48930000000000001</v>
      </c>
      <c r="T32" s="15">
        <v>0.19800000000000001</v>
      </c>
      <c r="U32" s="23"/>
      <c r="V32" s="23"/>
      <c r="W32" s="23"/>
      <c r="X32" s="23"/>
      <c r="Y32" s="36"/>
      <c r="Z32" s="35"/>
      <c r="AA32" s="35"/>
      <c r="AB32" s="35"/>
      <c r="AC32" s="35"/>
      <c r="AD32" s="35"/>
      <c r="AE32" s="35"/>
      <c r="AF32" s="35"/>
      <c r="AG32" s="35"/>
    </row>
  </sheetData>
  <phoneticPr fontId="3" type="noConversion"/>
  <conditionalFormatting sqref="L1">
    <cfRule type="duplicateValues" dxfId="0" priority="1"/>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3" sqref="D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Alok Mohanty</dc:creator>
  <cp:keywords/>
  <dc:description/>
  <cp:lastModifiedBy>Rupamudra maastrix</cp:lastModifiedBy>
  <cp:revision/>
  <dcterms:created xsi:type="dcterms:W3CDTF">2025-10-17T11:48:31Z</dcterms:created>
  <dcterms:modified xsi:type="dcterms:W3CDTF">2026-04-02T07:27:46Z</dcterms:modified>
  <cp:category/>
  <cp:contentStatus/>
</cp:coreProperties>
</file>