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asuser\Downloads\"/>
    </mc:Choice>
  </mc:AlternateContent>
  <xr:revisionPtr revIDLastSave="0" documentId="13_ncr:1_{66BD6B89-CBB2-4286-9E8E-B11CC403F946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3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5" i="3" l="1"/>
  <c r="U5" i="3"/>
  <c r="S4" i="3"/>
  <c r="AK5" i="3" l="1"/>
  <c r="AK4" i="3"/>
  <c r="AJ5" i="3"/>
  <c r="AJ4" i="3"/>
  <c r="AG5" i="3"/>
  <c r="AG4" i="3"/>
  <c r="U2" i="3"/>
  <c r="AF3" i="3" l="1"/>
  <c r="AF2" i="3"/>
  <c r="AG3" i="3" l="1"/>
  <c r="AJ3" i="3" s="1"/>
  <c r="AK3" i="3" s="1"/>
  <c r="AG2" i="3"/>
  <c r="AJ2" i="3" s="1"/>
  <c r="AK2" i="3" s="1"/>
</calcChain>
</file>

<file path=xl/sharedStrings.xml><?xml version="1.0" encoding="utf-8"?>
<sst xmlns="http://schemas.openxmlformats.org/spreadsheetml/2006/main" count="602" uniqueCount="262">
  <si>
    <t>chhendipada</t>
  </si>
  <si>
    <t>State Bank of India</t>
  </si>
  <si>
    <t>SBIN0002042</t>
  </si>
  <si>
    <t>4088 8314 0796</t>
  </si>
  <si>
    <t>FXOPM9594R</t>
  </si>
  <si>
    <t>married</t>
  </si>
  <si>
    <t>no</t>
  </si>
  <si>
    <t>Land acquisition</t>
  </si>
  <si>
    <t>active</t>
  </si>
  <si>
    <t>yes</t>
  </si>
  <si>
    <t>DARPG/E/2026/0001234</t>
  </si>
  <si>
    <t>land acquisition</t>
  </si>
  <si>
    <t>workers</t>
  </si>
  <si>
    <t>under matric</t>
  </si>
  <si>
    <t>name mismatch</t>
  </si>
  <si>
    <t>court action &amp; orders</t>
  </si>
  <si>
    <t>forward to court</t>
  </si>
  <si>
    <t>immediate vesting</t>
  </si>
  <si>
    <t>building office</t>
  </si>
  <si>
    <t>compensation lower than market value</t>
  </si>
  <si>
    <t>demand of higher compensation</t>
  </si>
  <si>
    <t>Full</t>
  </si>
  <si>
    <t>Angul</t>
  </si>
  <si>
    <t>No</t>
  </si>
  <si>
    <t>LA10</t>
  </si>
  <si>
    <t>LD10</t>
  </si>
  <si>
    <t>LD11</t>
  </si>
  <si>
    <t>LA11</t>
  </si>
  <si>
    <t>LA12</t>
  </si>
  <si>
    <t>LA13</t>
  </si>
  <si>
    <t>LA14</t>
  </si>
  <si>
    <t>LA15</t>
  </si>
  <si>
    <t>LA16</t>
  </si>
  <si>
    <t>LA17</t>
  </si>
  <si>
    <t>LA18</t>
  </si>
  <si>
    <t>LA19</t>
  </si>
  <si>
    <t>LA20</t>
  </si>
  <si>
    <t>LA21</t>
  </si>
  <si>
    <t>LA22</t>
  </si>
  <si>
    <t>PD10</t>
  </si>
  <si>
    <t>RR10</t>
  </si>
  <si>
    <t>RR11</t>
  </si>
  <si>
    <t>RR12</t>
  </si>
  <si>
    <t>RR13</t>
  </si>
  <si>
    <t>RR14</t>
  </si>
  <si>
    <t>LO05</t>
  </si>
  <si>
    <t>LO01</t>
  </si>
  <si>
    <t>LO02</t>
  </si>
  <si>
    <t>LO03</t>
  </si>
  <si>
    <t>LO04</t>
  </si>
  <si>
    <t>LO06</t>
  </si>
  <si>
    <t>LD01</t>
  </si>
  <si>
    <t>LD02</t>
  </si>
  <si>
    <t>LD03</t>
  </si>
  <si>
    <t>LD04</t>
  </si>
  <si>
    <t>LD05</t>
  </si>
  <si>
    <t>LD06</t>
  </si>
  <si>
    <t>LD07</t>
  </si>
  <si>
    <t>LD08</t>
  </si>
  <si>
    <t>LD09</t>
  </si>
  <si>
    <t>LA01</t>
  </si>
  <si>
    <t>LA02</t>
  </si>
  <si>
    <t>LA03</t>
  </si>
  <si>
    <t>LA04</t>
  </si>
  <si>
    <t>LA05</t>
  </si>
  <si>
    <t>LA06</t>
  </si>
  <si>
    <t>LA07</t>
  </si>
  <si>
    <t>LA08</t>
  </si>
  <si>
    <t>LA09</t>
  </si>
  <si>
    <t>BK01</t>
  </si>
  <si>
    <t>BK02</t>
  </si>
  <si>
    <t>BK03</t>
  </si>
  <si>
    <t>PD01</t>
  </si>
  <si>
    <t>PD02</t>
  </si>
  <si>
    <t>PD03</t>
  </si>
  <si>
    <t>PD04</t>
  </si>
  <si>
    <t>PD05</t>
  </si>
  <si>
    <t>PD06</t>
  </si>
  <si>
    <t>PD07</t>
  </si>
  <si>
    <t>PD08</t>
  </si>
  <si>
    <t>PD09</t>
  </si>
  <si>
    <t>FD01</t>
  </si>
  <si>
    <t>FD02</t>
  </si>
  <si>
    <t>FD03</t>
  </si>
  <si>
    <t>FD04</t>
  </si>
  <si>
    <t>FD05</t>
  </si>
  <si>
    <t>FD06</t>
  </si>
  <si>
    <t>FD07</t>
  </si>
  <si>
    <t>FD08</t>
  </si>
  <si>
    <t>FD09</t>
  </si>
  <si>
    <t>LG01</t>
  </si>
  <si>
    <t>LG02</t>
  </si>
  <si>
    <t>LG03</t>
  </si>
  <si>
    <t>LG04</t>
  </si>
  <si>
    <t>LG05</t>
  </si>
  <si>
    <t>RR01</t>
  </si>
  <si>
    <t>RR02</t>
  </si>
  <si>
    <t>RR03</t>
  </si>
  <si>
    <t>RR04</t>
  </si>
  <si>
    <t>RR05</t>
  </si>
  <si>
    <t>RR06</t>
  </si>
  <si>
    <t>RR07</t>
  </si>
  <si>
    <t>RR08</t>
  </si>
  <si>
    <t>RR09</t>
  </si>
  <si>
    <t>GR01</t>
  </si>
  <si>
    <t>GR02</t>
  </si>
  <si>
    <t>GR03</t>
  </si>
  <si>
    <t>GR04</t>
  </si>
  <si>
    <t>GR05</t>
  </si>
  <si>
    <t>TR01</t>
  </si>
  <si>
    <t>TR02</t>
  </si>
  <si>
    <t>TR03</t>
  </si>
  <si>
    <t>LA00</t>
  </si>
  <si>
    <t>E-LHC/2024/2269534</t>
  </si>
  <si>
    <t>plumber</t>
  </si>
  <si>
    <t>Part</t>
  </si>
  <si>
    <t>SAJS II</t>
  </si>
  <si>
    <t>II</t>
  </si>
  <si>
    <t>Taila</t>
  </si>
  <si>
    <t>III</t>
  </si>
  <si>
    <t>11598469989</t>
  </si>
  <si>
    <t>6894 4406 9762</t>
  </si>
  <si>
    <t xml:space="preserve"> CJAPM7002H</t>
  </si>
  <si>
    <t>matric</t>
  </si>
  <si>
    <t>house wife</t>
  </si>
  <si>
    <t>parental address recognition</t>
  </si>
  <si>
    <t>E-LHC/2024/226926</t>
  </si>
  <si>
    <t>partition suit</t>
  </si>
  <si>
    <t>pending</t>
  </si>
  <si>
    <t>legal action</t>
  </si>
  <si>
    <t>legal</t>
  </si>
  <si>
    <t>Yes</t>
  </si>
  <si>
    <t>road construction</t>
  </si>
  <si>
    <t>critical public purpose</t>
  </si>
  <si>
    <t xml:space="preserve">for the necessity of project land is being more </t>
  </si>
  <si>
    <t>Machhakuta, PO-Machhakuta, PS- Chhendipada, Dist- Angul, 759124</t>
  </si>
  <si>
    <t>Balipata</t>
  </si>
  <si>
    <t>02510569073</t>
  </si>
  <si>
    <t>FMOPS9594R</t>
  </si>
  <si>
    <t>column code in details</t>
  </si>
  <si>
    <t>Record Id</t>
  </si>
  <si>
    <t>Date of Award</t>
  </si>
  <si>
    <t>Land Owner Details</t>
  </si>
  <si>
    <t>Name of Recorded Tenant</t>
  </si>
  <si>
    <t>Name of Present Tenant(s)</t>
  </si>
  <si>
    <t>Present Address</t>
  </si>
  <si>
    <t>Displaced/Affected Person</t>
  </si>
  <si>
    <t>SES Survey No.</t>
  </si>
  <si>
    <t>Land Details</t>
  </si>
  <si>
    <t>District</t>
  </si>
  <si>
    <t>Name of Village</t>
  </si>
  <si>
    <t>Name of the Tahasil</t>
  </si>
  <si>
    <t>Name of the R.I. Circle</t>
  </si>
  <si>
    <t>Thana No.</t>
  </si>
  <si>
    <t>Khata No.</t>
  </si>
  <si>
    <t>Plot No.</t>
  </si>
  <si>
    <t>Kissam of the Land</t>
  </si>
  <si>
    <t>category of Land</t>
  </si>
  <si>
    <t>Remarks</t>
  </si>
  <si>
    <t>Full/Part</t>
  </si>
  <si>
    <t>Land Acquisition Details</t>
  </si>
  <si>
    <t xml:space="preserve">Total Land Area (In Acres) </t>
  </si>
  <si>
    <t>Total Land Area (in Hectares)</t>
  </si>
  <si>
    <t>Aquired Land Area (In Acres)</t>
  </si>
  <si>
    <t>Aquired Land Area (In Hectares)</t>
  </si>
  <si>
    <t>Bench Mark Value</t>
  </si>
  <si>
    <t>Basic Land value</t>
  </si>
  <si>
    <t>Land value  with multiplication factor (Values from 1 to 2)</t>
  </si>
  <si>
    <t>No. of Trees</t>
  </si>
  <si>
    <t xml:space="preserve">Total Value of Trees </t>
  </si>
  <si>
    <t>No. of House</t>
  </si>
  <si>
    <t>Value of Structure (House)</t>
  </si>
  <si>
    <t>Detail of Structures other than House</t>
  </si>
  <si>
    <t xml:space="preserve">Value of structures other than House
</t>
  </si>
  <si>
    <t>Total Value  (Land-LA6 + Tree-LA9+ House-LA11 + Structures-LA13)</t>
  </si>
  <si>
    <t xml:space="preserve">Solatium @ of (100%) </t>
  </si>
  <si>
    <t>No. of days of Interest</t>
  </si>
  <si>
    <t xml:space="preserve">12% additional compensation on market value of land area </t>
  </si>
  <si>
    <t>Total Compensation Amount</t>
  </si>
  <si>
    <t>Apportionment Amount of the Award for the Individual Family Member</t>
  </si>
  <si>
    <t>Priority/Urgency</t>
  </si>
  <si>
    <t>Land Use Plan</t>
  </si>
  <si>
    <t>Bank Details</t>
  </si>
  <si>
    <t>Bank Account No.</t>
  </si>
  <si>
    <t>Name of the Bank</t>
  </si>
  <si>
    <t>Name of the Branch with IFSC Code</t>
  </si>
  <si>
    <t>Personal Details</t>
  </si>
  <si>
    <t>Aadhaar No.</t>
  </si>
  <si>
    <t>PAN No.</t>
  </si>
  <si>
    <t>Age</t>
  </si>
  <si>
    <t>Caste</t>
  </si>
  <si>
    <t>Marital Status</t>
  </si>
  <si>
    <t>Education</t>
  </si>
  <si>
    <t>Occupation</t>
  </si>
  <si>
    <t>Annual Income</t>
  </si>
  <si>
    <t>Skill Acquired</t>
  </si>
  <si>
    <t>Affidavit with subject details (if any)</t>
  </si>
  <si>
    <t>Family Details</t>
  </si>
  <si>
    <t>No. of Family Members (Major Male)</t>
  </si>
  <si>
    <t>No. of Family Members (Major Female)</t>
  </si>
  <si>
    <t>No. of Family Members (Minor Male)</t>
  </si>
  <si>
    <t>No. of Family Members (Minor Female)</t>
  </si>
  <si>
    <t>No. of Family Members (Major Transgender)</t>
  </si>
  <si>
    <t>No. of Family Members (Minor Transgender)</t>
  </si>
  <si>
    <t xml:space="preserve">No. of Persons with Disability </t>
  </si>
  <si>
    <t>Family with Orphan Members (Yes/No)</t>
  </si>
  <si>
    <t>Legal Heir Certificate No. (if any)</t>
  </si>
  <si>
    <t>Legal issue Details</t>
  </si>
  <si>
    <t>Land Case - No. (Number</t>
  </si>
  <si>
    <t>Land Case - Date (Date)</t>
  </si>
  <si>
    <t>Land Case Type</t>
  </si>
  <si>
    <t>Land case - Status</t>
  </si>
  <si>
    <t>Land Case - Action</t>
  </si>
  <si>
    <t>Rehabilitation &amp; Resettlement Details</t>
  </si>
  <si>
    <t xml:space="preserve">RR Assistance (Rehab) - Employment in the Project </t>
  </si>
  <si>
    <t>RR Assistance (Rehab) - Cash in lieu of Employment</t>
  </si>
  <si>
    <t>RR Assistance (Rehab) - Training for Skill Upgradation</t>
  </si>
  <si>
    <t>RR Assistance (Rehab) - Assistance for Self Employment</t>
  </si>
  <si>
    <t>RR Assistance (Rehab) - Special Allowance to STs for loss of NTFP</t>
  </si>
  <si>
    <t>RR Assistance (Resettle) - Homested Land Alloted/Self Relocation</t>
  </si>
  <si>
    <t>RR Assistance (Resettle) - House Building Assistance</t>
  </si>
  <si>
    <t>RR Assistance (Resettle) - Constructed by Project Authority/Self</t>
  </si>
  <si>
    <t>RR Assistance (Resettle) - Assistance for Transit Shed</t>
  </si>
  <si>
    <t>RR Assistance (Resettle) - Transportation Allowance</t>
  </si>
  <si>
    <t>RR Assistance (Resettle) - Maintenance Allowance</t>
  </si>
  <si>
    <t>RR Assistance (Other) - Special Allowance for Multiple Displacement</t>
  </si>
  <si>
    <t>RR Assistance (Other) - Ex-Gratia (if any)</t>
  </si>
  <si>
    <t>RR Assistance (Other) - Other Benefits (if any)</t>
  </si>
  <si>
    <t>Grievance Details</t>
  </si>
  <si>
    <t xml:space="preserve">Grievance No. </t>
  </si>
  <si>
    <t>Grievance  Date</t>
  </si>
  <si>
    <t>Grievance - Subject Matter</t>
  </si>
  <si>
    <t>Grievance - Present Status</t>
  </si>
  <si>
    <t>Grievance - Action taken</t>
  </si>
  <si>
    <t>Tribunal Details</t>
  </si>
  <si>
    <t>Tribunal (Yes/No)</t>
  </si>
  <si>
    <t>Date of Deposit</t>
  </si>
  <si>
    <t>Tribunal - Amount Deposited</t>
  </si>
  <si>
    <t>Shantilata Behera, Sushanta Kumar Behera,Basanta Kumar Behera,Prasanta Kumar Behera,Sukanta Kumar Behera</t>
  </si>
  <si>
    <t>Chhendipada Jungle</t>
  </si>
  <si>
    <t xml:space="preserve">Salaman Naik,Sukanti Naik,Taila Naik,Johan Naik </t>
  </si>
  <si>
    <t>Machhakuta Jungle</t>
  </si>
  <si>
    <t>21020110069752</t>
  </si>
  <si>
    <t>256501504149</t>
  </si>
  <si>
    <t>ICICI Bank</t>
  </si>
  <si>
    <t>ICIC0002565</t>
  </si>
  <si>
    <t>sc</t>
  </si>
  <si>
    <t>Sc</t>
  </si>
  <si>
    <t>OBC</t>
  </si>
  <si>
    <t>GMDC/MKJ/0319</t>
  </si>
  <si>
    <t>GMDC/CPJ/0319</t>
  </si>
  <si>
    <t>Chandra Naik, Johan Naik</t>
  </si>
  <si>
    <t xml:space="preserve">Sudarsana Behera, Chakradhar Behera, Mini Behera, Thengu Behera, Sadananda Behera, Gopal Behera, Subrata Behera, Meghi </t>
  </si>
  <si>
    <t xml:space="preserve">Handigoda, Po- Chhendipada, Ps-Chhendipada, Dist.- Angul, Pin- 759124 </t>
  </si>
  <si>
    <t>871/1501</t>
  </si>
  <si>
    <t>DARPG/E/2026/0003535</t>
  </si>
  <si>
    <t>Field Workers</t>
  </si>
  <si>
    <t>E-LHC/2022/226955</t>
  </si>
  <si>
    <t>7788 6055 2932</t>
  </si>
  <si>
    <t>2836 1246 1278</t>
  </si>
  <si>
    <t>PAF</t>
  </si>
  <si>
    <t>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</si>
</sst>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0.0000"/>
    <numFmt numFmtId="165" formatCode="#,##0.0000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A0A0A"/>
      <name val="Calibri"/>
      <family val="2"/>
    </font>
    <font>
      <sz val="10"/>
      <color theme="1"/>
      <name val="Calibri"/>
      <family val="2"/>
      <scheme val="minor"/>
    </font>
    <font>
      <sz val="12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2" fillId="0" borderId="0"/>
    <xf numFmtId="43" fontId="2" fillId="0" borderId="0" applyFont="0" applyFill="0" applyBorder="0" applyAlignment="0" applyProtection="0"/>
  </cellStyleXfs>
  <cellXfs count="29">
    <xf numFmtId="0" fontId="0" fillId="0" borderId="0" xfId="0"/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3" fillId="0" borderId="1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 wrapText="1"/>
    </xf>
    <xf numFmtId="0" fontId="0" fillId="0" borderId="1" xfId="0" applyBorder="1"/>
    <xf numFmtId="0" fontId="4" fillId="0" borderId="1" xfId="0" applyFont="1" applyBorder="1" applyAlignment="1">
      <alignment vertical="center" wrapText="1"/>
    </xf>
    <xf numFmtId="0" fontId="7" fillId="0" borderId="1" xfId="0" applyFont="1" applyBorder="1" applyAlignment="1">
      <alignment horizontal="center" vertical="center" wrapText="1"/>
    </xf>
    <xf numFmtId="14" fontId="0" fillId="0" borderId="1" xfId="0" applyNumberFormat="1" applyBorder="1" applyAlignment="1">
      <alignment vertical="center"/>
    </xf>
    <xf numFmtId="0" fontId="8" fillId="0" borderId="1" xfId="0" applyFont="1" applyBorder="1" applyAlignment="1">
      <alignment horizontal="left"/>
    </xf>
    <xf numFmtId="0" fontId="0" fillId="0" borderId="1" xfId="0" applyBorder="1" applyAlignment="1">
      <alignment horizontal="left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vertical="center" wrapText="1"/>
    </xf>
    <xf numFmtId="49" fontId="0" fillId="0" borderId="1" xfId="0" applyNumberFormat="1" applyBorder="1" applyAlignment="1">
      <alignment vertical="center"/>
    </xf>
    <xf numFmtId="0" fontId="3" fillId="0" borderId="1" xfId="1" applyFont="1" applyBorder="1" applyAlignment="1">
      <alignment vertical="center" wrapText="1"/>
    </xf>
    <xf numFmtId="164" fontId="0" fillId="2" borderId="1" xfId="0" applyNumberFormat="1" applyFill="1" applyBorder="1" applyAlignment="1">
      <alignment vertical="center" wrapText="1"/>
    </xf>
    <xf numFmtId="164" fontId="0" fillId="0" borderId="1" xfId="0" applyNumberFormat="1" applyBorder="1" applyAlignment="1">
      <alignment vertical="center"/>
    </xf>
    <xf numFmtId="1" fontId="6" fillId="0" borderId="1" xfId="2" applyNumberFormat="1" applyFont="1" applyFill="1" applyBorder="1" applyAlignment="1">
      <alignment vertical="center"/>
    </xf>
    <xf numFmtId="2" fontId="3" fillId="0" borderId="1" xfId="2" applyNumberFormat="1" applyFont="1" applyFill="1" applyBorder="1" applyAlignment="1">
      <alignment vertical="center"/>
    </xf>
    <xf numFmtId="2" fontId="0" fillId="0" borderId="1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9" fillId="0" borderId="1" xfId="0" applyFont="1" applyBorder="1" applyAlignment="1">
      <alignment vertical="center"/>
    </xf>
    <xf numFmtId="0" fontId="8" fillId="3" borderId="2" xfId="0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</cellXfs>
  <cellStyles count="3">
    <cellStyle name="Comma" xfId="2" builtinId="3"/>
    <cellStyle name="Normal" xfId="0" builtinId="0"/>
    <cellStyle name="Normal 2" xfId="1" xr:uid="{399DA8E6-188A-41A9-919F-B454E6ACCD6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ED026-DADB-4AF4-B90D-71A00BC0998A}">
  <dimension ref="A1:CK47"/>
  <sheetViews>
    <sheetView tabSelected="1" topLeftCell="A4" workbookViewId="0">
      <selection activeCell="E4" sqref="E4"/>
    </sheetView>
  </sheetViews>
  <sheetFormatPr defaultRowHeight="15" x14ac:dyDescent="0.25"/>
  <cols>
    <col min="1" max="1" width="19.7109375" style="7" customWidth="1"/>
    <col min="2" max="2" width="17.42578125" customWidth="1"/>
    <col min="3" max="3" width="19.5703125" customWidth="1"/>
    <col min="5" max="5" width="24.140625" customWidth="1"/>
    <col min="7" max="7" width="15" customWidth="1"/>
    <col min="9" max="9" width="13.85546875" customWidth="1"/>
    <col min="14" max="14" width="16" bestFit="1" customWidth="1"/>
    <col min="21" max="21" width="9.5703125" bestFit="1" customWidth="1"/>
    <col min="23" max="23" width="12.7109375" customWidth="1"/>
    <col min="24" max="24" width="13.85546875" customWidth="1"/>
    <col min="29" max="29" width="13.42578125" customWidth="1"/>
    <col min="32" max="32" width="16.28515625" customWidth="1"/>
    <col min="33" max="33" width="15.28515625" customWidth="1"/>
    <col min="35" max="35" width="9.5703125" bestFit="1" customWidth="1"/>
    <col min="36" max="36" width="14.7109375" customWidth="1"/>
    <col min="37" max="37" width="17.85546875" customWidth="1"/>
    <col min="39" max="39" width="13.140625" customWidth="1"/>
    <col min="40" max="40" width="16.42578125" customWidth="1"/>
    <col min="41" max="41" width="15.42578125" customWidth="1"/>
    <col min="43" max="43" width="13.7109375" customWidth="1"/>
    <col min="44" max="44" width="17.7109375" customWidth="1"/>
    <col min="45" max="45" width="14.85546875" customWidth="1"/>
    <col min="50" max="50" width="13.140625" customWidth="1"/>
    <col min="62" max="62" width="18.7109375" customWidth="1"/>
    <col min="64" max="64" width="13.42578125" customWidth="1"/>
    <col min="83" max="83" width="13.85546875" customWidth="1"/>
    <col min="88" max="88" width="10.42578125" bestFit="1" customWidth="1"/>
  </cols>
  <sheetData>
    <row r="1" spans="1:89" s="1" customFormat="1" x14ac:dyDescent="0.25">
      <c r="A1" s="6" t="s">
        <v>112</v>
      </c>
      <c r="B1" s="1" t="s">
        <v>46</v>
      </c>
      <c r="C1" s="1" t="s">
        <v>47</v>
      </c>
      <c r="D1" s="1" t="s">
        <v>48</v>
      </c>
      <c r="E1" s="1" t="s">
        <v>49</v>
      </c>
      <c r="F1" s="1" t="s">
        <v>45</v>
      </c>
      <c r="G1" s="1" t="s">
        <v>50</v>
      </c>
      <c r="H1" s="1" t="s">
        <v>51</v>
      </c>
      <c r="I1" s="1" t="s">
        <v>52</v>
      </c>
      <c r="J1" s="1" t="s">
        <v>53</v>
      </c>
      <c r="K1" s="1" t="s">
        <v>54</v>
      </c>
      <c r="L1" s="1" t="s">
        <v>55</v>
      </c>
      <c r="M1" s="1" t="s">
        <v>56</v>
      </c>
      <c r="N1" s="1" t="s">
        <v>57</v>
      </c>
      <c r="O1" s="1" t="s">
        <v>58</v>
      </c>
      <c r="P1" s="1" t="s">
        <v>59</v>
      </c>
      <c r="Q1" s="1" t="s">
        <v>25</v>
      </c>
      <c r="R1" s="1" t="s">
        <v>26</v>
      </c>
      <c r="S1" s="1" t="s">
        <v>60</v>
      </c>
      <c r="T1" s="1" t="s">
        <v>61</v>
      </c>
      <c r="U1" s="1" t="s">
        <v>62</v>
      </c>
      <c r="V1" s="1" t="s">
        <v>63</v>
      </c>
      <c r="W1" s="1" t="s">
        <v>64</v>
      </c>
      <c r="X1" s="1" t="s">
        <v>65</v>
      </c>
      <c r="Y1" s="1" t="s">
        <v>66</v>
      </c>
      <c r="Z1" s="1" t="s">
        <v>67</v>
      </c>
      <c r="AA1" s="1" t="s">
        <v>68</v>
      </c>
      <c r="AB1" s="1" t="s">
        <v>24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69</v>
      </c>
      <c r="AP1" s="1" t="s">
        <v>70</v>
      </c>
      <c r="AQ1" s="1" t="s">
        <v>71</v>
      </c>
      <c r="AR1" s="1" t="s">
        <v>72</v>
      </c>
      <c r="AS1" s="1" t="s">
        <v>73</v>
      </c>
      <c r="AT1" s="1" t="s">
        <v>74</v>
      </c>
      <c r="AU1" s="1" t="s">
        <v>75</v>
      </c>
      <c r="AV1" s="1" t="s">
        <v>76</v>
      </c>
      <c r="AW1" s="1" t="s">
        <v>77</v>
      </c>
      <c r="AX1" s="1" t="s">
        <v>78</v>
      </c>
      <c r="AY1" s="1" t="s">
        <v>79</v>
      </c>
      <c r="AZ1" s="1" t="s">
        <v>80</v>
      </c>
      <c r="BA1" s="1" t="s">
        <v>39</v>
      </c>
      <c r="BB1" s="1" t="s">
        <v>81</v>
      </c>
      <c r="BC1" s="1" t="s">
        <v>82</v>
      </c>
      <c r="BD1" s="1" t="s">
        <v>83</v>
      </c>
      <c r="BE1" s="1" t="s">
        <v>84</v>
      </c>
      <c r="BF1" s="1" t="s">
        <v>85</v>
      </c>
      <c r="BG1" s="1" t="s">
        <v>86</v>
      </c>
      <c r="BH1" s="1" t="s">
        <v>87</v>
      </c>
      <c r="BI1" s="1" t="s">
        <v>88</v>
      </c>
      <c r="BJ1" s="1" t="s">
        <v>89</v>
      </c>
      <c r="BK1" s="1" t="s">
        <v>90</v>
      </c>
      <c r="BL1" s="1" t="s">
        <v>91</v>
      </c>
      <c r="BM1" s="1" t="s">
        <v>92</v>
      </c>
      <c r="BN1" s="1" t="s">
        <v>93</v>
      </c>
      <c r="BO1" s="1" t="s">
        <v>94</v>
      </c>
      <c r="BP1" s="1" t="s">
        <v>95</v>
      </c>
      <c r="BQ1" s="1" t="s">
        <v>96</v>
      </c>
      <c r="BR1" s="1" t="s">
        <v>97</v>
      </c>
      <c r="BS1" s="1" t="s">
        <v>98</v>
      </c>
      <c r="BT1" s="1" t="s">
        <v>99</v>
      </c>
      <c r="BU1" s="1" t="s">
        <v>100</v>
      </c>
      <c r="BV1" s="1" t="s">
        <v>101</v>
      </c>
      <c r="BW1" s="1" t="s">
        <v>102</v>
      </c>
      <c r="BX1" s="1" t="s">
        <v>103</v>
      </c>
      <c r="BY1" s="1" t="s">
        <v>40</v>
      </c>
      <c r="BZ1" s="1" t="s">
        <v>41</v>
      </c>
      <c r="CA1" s="1" t="s">
        <v>42</v>
      </c>
      <c r="CB1" s="1" t="s">
        <v>43</v>
      </c>
      <c r="CC1" s="1" t="s">
        <v>44</v>
      </c>
      <c r="CD1" s="1" t="s">
        <v>104</v>
      </c>
      <c r="CE1" s="1" t="s">
        <v>105</v>
      </c>
      <c r="CF1" s="1" t="s">
        <v>106</v>
      </c>
      <c r="CG1" s="1" t="s">
        <v>107</v>
      </c>
      <c r="CH1" s="1" t="s">
        <v>108</v>
      </c>
      <c r="CI1" s="1" t="s">
        <v>109</v>
      </c>
      <c r="CJ1" s="1" t="s">
        <v>110</v>
      </c>
      <c r="CK1" s="1" t="s">
        <v>111</v>
      </c>
    </row>
    <row r="2" spans="1:89" ht="150" x14ac:dyDescent="0.25">
      <c r="A2" s="2"/>
      <c r="B2" s="17" t="s">
        <v>252</v>
      </c>
      <c r="C2" s="9" t="s">
        <v>238</v>
      </c>
      <c r="D2" s="4" t="s">
        <v>253</v>
      </c>
      <c r="E2" s="3" t="s">
        <v>260</v>
      </c>
      <c r="F2" s="5">
        <v>1</v>
      </c>
      <c r="G2" s="13">
        <v>46100</v>
      </c>
      <c r="H2" s="5" t="s">
        <v>22</v>
      </c>
      <c r="I2" s="19" t="s">
        <v>239</v>
      </c>
      <c r="J2" s="5" t="s">
        <v>0</v>
      </c>
      <c r="K2" s="5" t="s">
        <v>0</v>
      </c>
      <c r="L2" s="5">
        <v>75</v>
      </c>
      <c r="M2" s="8">
        <v>959</v>
      </c>
      <c r="N2" s="5">
        <v>4312</v>
      </c>
      <c r="O2" s="5" t="s">
        <v>116</v>
      </c>
      <c r="P2" s="5" t="s">
        <v>117</v>
      </c>
      <c r="Q2" s="20" t="s">
        <v>20</v>
      </c>
      <c r="R2" s="5" t="s">
        <v>115</v>
      </c>
      <c r="S2" s="21">
        <v>4.3999999999999997E-2</v>
      </c>
      <c r="T2" s="21">
        <v>1.7999999999999999E-2</v>
      </c>
      <c r="U2" s="21">
        <f t="shared" ref="U2" si="0">ROUND(T2*2.471054,4)</f>
        <v>4.4499999999999998E-2</v>
      </c>
      <c r="V2" s="21">
        <v>0.1351</v>
      </c>
      <c r="W2" s="22">
        <v>2536416</v>
      </c>
      <c r="X2" s="22">
        <v>846656</v>
      </c>
      <c r="Y2" s="22">
        <v>1693312</v>
      </c>
      <c r="Z2" s="5">
        <v>0</v>
      </c>
      <c r="AA2" s="23">
        <v>0</v>
      </c>
      <c r="AB2" s="5">
        <v>0</v>
      </c>
      <c r="AC2" s="23">
        <v>0</v>
      </c>
      <c r="AD2" s="5">
        <v>0</v>
      </c>
      <c r="AE2" s="23">
        <v>0</v>
      </c>
      <c r="AF2" s="23">
        <f>Y2+AA2+AC2+AE2</f>
        <v>1693312</v>
      </c>
      <c r="AG2" s="23">
        <f>AF2</f>
        <v>1693312</v>
      </c>
      <c r="AH2" s="23">
        <v>0</v>
      </c>
      <c r="AI2" s="23">
        <v>237713</v>
      </c>
      <c r="AJ2" s="23">
        <f>AF2+AG2+AI2</f>
        <v>3624337</v>
      </c>
      <c r="AK2" s="23">
        <f>AJ2</f>
        <v>3624337</v>
      </c>
      <c r="AL2" s="17" t="s">
        <v>17</v>
      </c>
      <c r="AM2" s="17" t="s">
        <v>18</v>
      </c>
      <c r="AN2" s="17" t="s">
        <v>19</v>
      </c>
      <c r="AO2" s="18" t="s">
        <v>242</v>
      </c>
      <c r="AP2" s="5" t="s">
        <v>1</v>
      </c>
      <c r="AQ2" s="17" t="s">
        <v>2</v>
      </c>
      <c r="AR2" s="5" t="s">
        <v>259</v>
      </c>
      <c r="AS2" s="17" t="s">
        <v>4</v>
      </c>
      <c r="AT2" s="5">
        <v>36</v>
      </c>
      <c r="AU2" s="5" t="s">
        <v>246</v>
      </c>
      <c r="AV2" s="5" t="s">
        <v>5</v>
      </c>
      <c r="AW2" s="5" t="s">
        <v>13</v>
      </c>
      <c r="AX2" s="5" t="s">
        <v>12</v>
      </c>
      <c r="AY2" s="5">
        <v>130000</v>
      </c>
      <c r="AZ2" s="5" t="s">
        <v>114</v>
      </c>
      <c r="BA2" s="5" t="s">
        <v>14</v>
      </c>
      <c r="BB2" s="5">
        <v>1</v>
      </c>
      <c r="BC2" s="5">
        <v>1</v>
      </c>
      <c r="BD2" s="5">
        <v>1</v>
      </c>
      <c r="BE2" s="5">
        <v>2</v>
      </c>
      <c r="BF2" s="5">
        <v>0</v>
      </c>
      <c r="BG2" s="5">
        <v>0</v>
      </c>
      <c r="BH2" s="5">
        <v>1</v>
      </c>
      <c r="BI2" s="5" t="s">
        <v>23</v>
      </c>
      <c r="BJ2" s="5" t="s">
        <v>113</v>
      </c>
      <c r="BK2" s="17" t="s">
        <v>250</v>
      </c>
      <c r="BL2" s="13">
        <v>46025</v>
      </c>
      <c r="BM2" s="5" t="s">
        <v>7</v>
      </c>
      <c r="BN2" s="5" t="s">
        <v>8</v>
      </c>
      <c r="BO2" s="5" t="s">
        <v>15</v>
      </c>
      <c r="BP2" s="5" t="s">
        <v>9</v>
      </c>
      <c r="BQ2" s="5" t="s">
        <v>6</v>
      </c>
      <c r="BR2" s="5">
        <v>88154</v>
      </c>
      <c r="BS2" s="5" t="s">
        <v>6</v>
      </c>
      <c r="BT2" s="5" t="s">
        <v>6</v>
      </c>
      <c r="BU2" s="5" t="s">
        <v>6</v>
      </c>
      <c r="BV2" s="5" t="s">
        <v>6</v>
      </c>
      <c r="BW2" s="5" t="s">
        <v>6</v>
      </c>
      <c r="BX2" s="5" t="s">
        <v>6</v>
      </c>
      <c r="BY2" s="5" t="s">
        <v>6</v>
      </c>
      <c r="BZ2" s="5" t="s">
        <v>6</v>
      </c>
      <c r="CA2" s="5" t="s">
        <v>6</v>
      </c>
      <c r="CB2" s="5" t="s">
        <v>6</v>
      </c>
      <c r="CC2" s="5" t="s">
        <v>6</v>
      </c>
      <c r="CD2" s="11" t="s">
        <v>10</v>
      </c>
      <c r="CE2" s="13">
        <v>46145</v>
      </c>
      <c r="CF2" s="5" t="s">
        <v>11</v>
      </c>
      <c r="CG2" s="5" t="s">
        <v>8</v>
      </c>
      <c r="CH2" s="5" t="s">
        <v>16</v>
      </c>
      <c r="CI2" s="5" t="s">
        <v>23</v>
      </c>
      <c r="CJ2" s="13"/>
      <c r="CK2" s="24">
        <v>0</v>
      </c>
    </row>
    <row r="3" spans="1:89" ht="150" x14ac:dyDescent="0.25">
      <c r="A3" s="10"/>
      <c r="B3" s="17" t="s">
        <v>252</v>
      </c>
      <c r="C3" s="9" t="s">
        <v>238</v>
      </c>
      <c r="D3" s="4" t="s">
        <v>253</v>
      </c>
      <c r="E3" s="3" t="s">
        <v>261</v>
      </c>
      <c r="F3" s="5">
        <v>2</v>
      </c>
      <c r="G3" s="13">
        <v>46100</v>
      </c>
      <c r="H3" s="5" t="s">
        <v>22</v>
      </c>
      <c r="I3" s="19" t="s">
        <v>239</v>
      </c>
      <c r="J3" s="5" t="s">
        <v>0</v>
      </c>
      <c r="K3" s="5" t="s">
        <v>136</v>
      </c>
      <c r="L3" s="5">
        <v>75</v>
      </c>
      <c r="M3" s="8">
        <v>959</v>
      </c>
      <c r="N3" s="5">
        <v>5284</v>
      </c>
      <c r="O3" s="5" t="s">
        <v>116</v>
      </c>
      <c r="P3" s="5" t="s">
        <v>117</v>
      </c>
      <c r="Q3" s="20" t="s">
        <v>20</v>
      </c>
      <c r="R3" s="5" t="s">
        <v>21</v>
      </c>
      <c r="S3" s="21">
        <v>4.3999999999999997E-2</v>
      </c>
      <c r="T3" s="21">
        <v>1.7999999999999999E-2</v>
      </c>
      <c r="U3" s="21">
        <v>0.12970000000000001</v>
      </c>
      <c r="V3" s="21">
        <v>5.2499999999999998E-2</v>
      </c>
      <c r="W3" s="22">
        <v>2536416</v>
      </c>
      <c r="X3" s="22">
        <v>328973</v>
      </c>
      <c r="Y3" s="22">
        <v>657946</v>
      </c>
      <c r="Z3" s="5">
        <v>0</v>
      </c>
      <c r="AA3" s="23">
        <v>0</v>
      </c>
      <c r="AB3" s="5">
        <v>0</v>
      </c>
      <c r="AC3" s="23">
        <v>0</v>
      </c>
      <c r="AD3" s="5">
        <v>0</v>
      </c>
      <c r="AE3" s="23">
        <v>0</v>
      </c>
      <c r="AF3" s="23">
        <f>Y3+AA3+AC3+AE3</f>
        <v>657946</v>
      </c>
      <c r="AG3" s="23">
        <f>AF3</f>
        <v>657946</v>
      </c>
      <c r="AH3" s="23">
        <v>0</v>
      </c>
      <c r="AI3" s="23">
        <v>92365</v>
      </c>
      <c r="AJ3" s="23">
        <f>AF3+AG3+AI3</f>
        <v>1408257</v>
      </c>
      <c r="AK3" s="23">
        <f>AJ3</f>
        <v>1408257</v>
      </c>
      <c r="AL3" s="17" t="s">
        <v>17</v>
      </c>
      <c r="AM3" s="17" t="s">
        <v>18</v>
      </c>
      <c r="AN3" s="17" t="s">
        <v>19</v>
      </c>
      <c r="AO3" s="18" t="s">
        <v>137</v>
      </c>
      <c r="AP3" s="5" t="s">
        <v>1</v>
      </c>
      <c r="AQ3" s="5" t="s">
        <v>2</v>
      </c>
      <c r="AR3" s="5" t="s">
        <v>3</v>
      </c>
      <c r="AS3" s="17" t="s">
        <v>138</v>
      </c>
      <c r="AT3" s="5">
        <v>36</v>
      </c>
      <c r="AU3" s="5" t="s">
        <v>246</v>
      </c>
      <c r="AV3" s="5" t="s">
        <v>5</v>
      </c>
      <c r="AW3" s="5" t="s">
        <v>13</v>
      </c>
      <c r="AX3" s="5" t="s">
        <v>12</v>
      </c>
      <c r="AY3" s="5">
        <v>130000</v>
      </c>
      <c r="AZ3" s="5" t="s">
        <v>114</v>
      </c>
      <c r="BA3" s="5" t="s">
        <v>14</v>
      </c>
      <c r="BB3" s="5">
        <v>1</v>
      </c>
      <c r="BC3" s="5">
        <v>1</v>
      </c>
      <c r="BD3" s="5">
        <v>1</v>
      </c>
      <c r="BE3" s="5">
        <v>2</v>
      </c>
      <c r="BF3" s="5">
        <v>0</v>
      </c>
      <c r="BG3" s="5">
        <v>0</v>
      </c>
      <c r="BH3" s="5">
        <v>1</v>
      </c>
      <c r="BI3" s="5" t="s">
        <v>23</v>
      </c>
      <c r="BJ3" s="5" t="s">
        <v>113</v>
      </c>
      <c r="BK3" s="17" t="s">
        <v>250</v>
      </c>
      <c r="BL3" s="13">
        <v>46025</v>
      </c>
      <c r="BM3" s="5" t="s">
        <v>7</v>
      </c>
      <c r="BN3" s="5" t="s">
        <v>8</v>
      </c>
      <c r="BO3" s="5" t="s">
        <v>15</v>
      </c>
      <c r="BP3" s="5" t="s">
        <v>9</v>
      </c>
      <c r="BQ3" s="5">
        <v>10214</v>
      </c>
      <c r="BR3" s="5" t="s">
        <v>6</v>
      </c>
      <c r="BS3" s="5" t="s">
        <v>6</v>
      </c>
      <c r="BT3" s="5" t="s">
        <v>6</v>
      </c>
      <c r="BU3" s="5" t="s">
        <v>6</v>
      </c>
      <c r="BV3" s="5" t="s">
        <v>6</v>
      </c>
      <c r="BW3" s="5" t="s">
        <v>6</v>
      </c>
      <c r="BX3" s="5" t="s">
        <v>6</v>
      </c>
      <c r="BY3" s="5" t="s">
        <v>6</v>
      </c>
      <c r="BZ3" s="5" t="s">
        <v>6</v>
      </c>
      <c r="CA3" s="5" t="s">
        <v>6</v>
      </c>
      <c r="CB3" s="5" t="s">
        <v>6</v>
      </c>
      <c r="CC3" s="5" t="s">
        <v>6</v>
      </c>
      <c r="CD3" s="11" t="s">
        <v>10</v>
      </c>
      <c r="CE3" s="13">
        <v>46145</v>
      </c>
      <c r="CF3" s="5" t="s">
        <v>11</v>
      </c>
      <c r="CG3" s="5" t="s">
        <v>8</v>
      </c>
      <c r="CH3" s="5" t="s">
        <v>16</v>
      </c>
      <c r="CI3" s="5" t="s">
        <v>9</v>
      </c>
      <c r="CJ3" s="13">
        <v>46056</v>
      </c>
      <c r="CK3" s="24">
        <v>20000</v>
      </c>
    </row>
    <row r="4" spans="1:89" ht="85.5" customHeight="1" x14ac:dyDescent="0.25">
      <c r="A4" s="3"/>
      <c r="B4" s="17" t="s">
        <v>252</v>
      </c>
      <c r="C4" s="9" t="s">
        <v>238</v>
      </c>
      <c r="D4" s="4" t="s">
        <v>253</v>
      </c>
      <c r="E4" s="3" t="s">
        <v>260</v>
      </c>
      <c r="F4" s="5">
        <v>3</v>
      </c>
      <c r="G4" s="13">
        <v>46100</v>
      </c>
      <c r="H4" s="5" t="s">
        <v>22</v>
      </c>
      <c r="I4" s="19" t="s">
        <v>239</v>
      </c>
      <c r="J4" s="5" t="s">
        <v>0</v>
      </c>
      <c r="K4" s="5" t="s">
        <v>0</v>
      </c>
      <c r="L4" s="5">
        <v>75</v>
      </c>
      <c r="M4" s="8">
        <v>959</v>
      </c>
      <c r="N4" s="5">
        <v>5286</v>
      </c>
      <c r="O4" s="5" t="s">
        <v>118</v>
      </c>
      <c r="P4" s="5" t="s">
        <v>119</v>
      </c>
      <c r="Q4" s="20" t="s">
        <v>20</v>
      </c>
      <c r="R4" s="5" t="s">
        <v>115</v>
      </c>
      <c r="S4" s="5">
        <f>T4/2.47105</f>
        <v>0.11574027235385767</v>
      </c>
      <c r="T4" s="21">
        <v>0.28599999999999998</v>
      </c>
      <c r="U4" s="21">
        <v>0.2432</v>
      </c>
      <c r="V4" s="21">
        <v>9.8400000000000001E-2</v>
      </c>
      <c r="W4" s="5">
        <v>2498838</v>
      </c>
      <c r="X4" s="5">
        <v>607717</v>
      </c>
      <c r="Y4" s="5">
        <v>1215434</v>
      </c>
      <c r="Z4" s="5">
        <v>11</v>
      </c>
      <c r="AA4" s="5">
        <v>337350</v>
      </c>
      <c r="AB4" s="5">
        <v>0</v>
      </c>
      <c r="AC4" s="5">
        <v>0</v>
      </c>
      <c r="AD4" s="5">
        <v>0</v>
      </c>
      <c r="AE4" s="5">
        <v>0</v>
      </c>
      <c r="AF4" s="5">
        <v>1552784</v>
      </c>
      <c r="AG4" s="23">
        <f>AF4</f>
        <v>1552784</v>
      </c>
      <c r="AH4" s="5">
        <v>0</v>
      </c>
      <c r="AI4" s="5">
        <v>170627</v>
      </c>
      <c r="AJ4" s="23">
        <f>AF4+AG4+AI4</f>
        <v>3276195</v>
      </c>
      <c r="AK4" s="23">
        <f>AJ4</f>
        <v>3276195</v>
      </c>
      <c r="AL4" s="17" t="s">
        <v>17</v>
      </c>
      <c r="AM4" s="17" t="s">
        <v>132</v>
      </c>
      <c r="AN4" s="20"/>
      <c r="AO4" s="18" t="s">
        <v>120</v>
      </c>
      <c r="AP4" s="5" t="s">
        <v>1</v>
      </c>
      <c r="AQ4" s="5" t="s">
        <v>2</v>
      </c>
      <c r="AR4" s="5" t="s">
        <v>121</v>
      </c>
      <c r="AS4" s="5" t="s">
        <v>122</v>
      </c>
      <c r="AT4" s="5">
        <v>55</v>
      </c>
      <c r="AU4" s="5" t="s">
        <v>247</v>
      </c>
      <c r="AV4" s="5" t="s">
        <v>5</v>
      </c>
      <c r="AW4" s="5" t="s">
        <v>123</v>
      </c>
      <c r="AX4" s="5" t="s">
        <v>124</v>
      </c>
      <c r="AY4" s="5"/>
      <c r="AZ4" s="5"/>
      <c r="BA4" s="17" t="s">
        <v>125</v>
      </c>
      <c r="BB4" s="5">
        <v>2</v>
      </c>
      <c r="BC4" s="5">
        <v>1</v>
      </c>
      <c r="BD4" s="5">
        <v>1</v>
      </c>
      <c r="BE4" s="5">
        <v>1</v>
      </c>
      <c r="BF4" s="5">
        <v>0</v>
      </c>
      <c r="BG4" s="5">
        <v>0</v>
      </c>
      <c r="BH4" s="5">
        <v>0</v>
      </c>
      <c r="BI4" s="5">
        <v>0</v>
      </c>
      <c r="BJ4" s="5" t="s">
        <v>126</v>
      </c>
      <c r="BK4" s="17" t="s">
        <v>250</v>
      </c>
      <c r="BL4" s="13">
        <v>46037</v>
      </c>
      <c r="BM4" s="5" t="s">
        <v>127</v>
      </c>
      <c r="BN4" s="5" t="s">
        <v>128</v>
      </c>
      <c r="BO4" s="5" t="s">
        <v>129</v>
      </c>
      <c r="BP4" s="5" t="s">
        <v>6</v>
      </c>
      <c r="BQ4" s="5" t="s">
        <v>9</v>
      </c>
      <c r="BR4" s="5" t="s">
        <v>9</v>
      </c>
      <c r="BS4" s="5" t="s">
        <v>9</v>
      </c>
      <c r="BT4" s="5" t="s">
        <v>9</v>
      </c>
      <c r="BU4" s="5" t="s">
        <v>9</v>
      </c>
      <c r="BV4" s="5" t="s">
        <v>9</v>
      </c>
      <c r="BW4" s="5" t="s">
        <v>9</v>
      </c>
      <c r="BX4" s="5" t="s">
        <v>9</v>
      </c>
      <c r="BY4" s="5" t="s">
        <v>9</v>
      </c>
      <c r="BZ4" s="5" t="s">
        <v>9</v>
      </c>
      <c r="CA4" s="5" t="s">
        <v>9</v>
      </c>
      <c r="CB4" s="5" t="s">
        <v>9</v>
      </c>
      <c r="CC4" s="5" t="s">
        <v>9</v>
      </c>
      <c r="CD4" s="11" t="s">
        <v>10</v>
      </c>
      <c r="CE4" s="13">
        <v>46145</v>
      </c>
      <c r="CF4" s="5" t="s">
        <v>11</v>
      </c>
      <c r="CG4" s="5" t="s">
        <v>128</v>
      </c>
      <c r="CH4" s="5" t="s">
        <v>130</v>
      </c>
      <c r="CI4" s="5" t="s">
        <v>131</v>
      </c>
      <c r="CJ4" s="13">
        <v>46102</v>
      </c>
      <c r="CK4" s="5">
        <v>15000</v>
      </c>
    </row>
    <row r="5" spans="1:89" ht="135" x14ac:dyDescent="0.25">
      <c r="A5" s="3"/>
      <c r="B5" s="4" t="s">
        <v>251</v>
      </c>
      <c r="C5" s="4" t="s">
        <v>240</v>
      </c>
      <c r="D5" s="12" t="s">
        <v>135</v>
      </c>
      <c r="E5" s="3" t="s">
        <v>260</v>
      </c>
      <c r="F5" s="5">
        <v>4</v>
      </c>
      <c r="G5" s="13">
        <v>46100</v>
      </c>
      <c r="H5" s="5" t="s">
        <v>22</v>
      </c>
      <c r="I5" s="17" t="s">
        <v>241</v>
      </c>
      <c r="J5" s="17" t="s">
        <v>0</v>
      </c>
      <c r="K5" s="5" t="s">
        <v>0</v>
      </c>
      <c r="L5" s="5">
        <v>77</v>
      </c>
      <c r="M5" s="5">
        <v>46</v>
      </c>
      <c r="N5" s="5">
        <v>5305</v>
      </c>
      <c r="O5" s="5" t="s">
        <v>116</v>
      </c>
      <c r="P5" s="5" t="s">
        <v>117</v>
      </c>
      <c r="Q5" s="20" t="s">
        <v>134</v>
      </c>
      <c r="R5" s="5" t="s">
        <v>21</v>
      </c>
      <c r="S5" s="21">
        <f>ROUND(T5*2.471054,4)</f>
        <v>0.25950000000000001</v>
      </c>
      <c r="T5" s="25">
        <v>0.105</v>
      </c>
      <c r="U5" s="21">
        <f>ROUND(T5*2.471054,4)</f>
        <v>0.25950000000000001</v>
      </c>
      <c r="V5" s="25">
        <v>0.105</v>
      </c>
      <c r="W5" s="5">
        <v>2498838</v>
      </c>
      <c r="X5" s="5">
        <v>648448</v>
      </c>
      <c r="Y5" s="5">
        <v>1296896</v>
      </c>
      <c r="Z5" s="5">
        <v>15</v>
      </c>
      <c r="AA5" s="5">
        <v>342360</v>
      </c>
      <c r="AB5" s="5">
        <v>0</v>
      </c>
      <c r="AC5" s="5">
        <v>0</v>
      </c>
      <c r="AD5" s="5">
        <v>0</v>
      </c>
      <c r="AE5" s="5">
        <v>0</v>
      </c>
      <c r="AF5" s="5">
        <v>1639256</v>
      </c>
      <c r="AG5" s="23">
        <f>AF5</f>
        <v>1639256</v>
      </c>
      <c r="AH5" s="5">
        <v>0</v>
      </c>
      <c r="AI5" s="5">
        <v>182063</v>
      </c>
      <c r="AJ5" s="23">
        <f>AF5+AG5+AI5</f>
        <v>3460575</v>
      </c>
      <c r="AK5" s="23">
        <f>AJ5</f>
        <v>3460575</v>
      </c>
      <c r="AL5" s="17" t="s">
        <v>133</v>
      </c>
      <c r="AM5" s="17" t="s">
        <v>132</v>
      </c>
      <c r="AN5" s="20" t="s">
        <v>134</v>
      </c>
      <c r="AO5" s="18" t="s">
        <v>243</v>
      </c>
      <c r="AP5" s="5" t="s">
        <v>244</v>
      </c>
      <c r="AQ5" s="5" t="s">
        <v>245</v>
      </c>
      <c r="AR5" s="5" t="s">
        <v>258</v>
      </c>
      <c r="AS5" s="5">
        <v>7682997204</v>
      </c>
      <c r="AT5" s="5">
        <v>71</v>
      </c>
      <c r="AU5" s="5" t="s">
        <v>248</v>
      </c>
      <c r="AV5" s="5" t="s">
        <v>5</v>
      </c>
      <c r="AW5" s="17" t="s">
        <v>13</v>
      </c>
      <c r="AX5" s="5" t="s">
        <v>12</v>
      </c>
      <c r="AY5" s="5">
        <v>130000</v>
      </c>
      <c r="AZ5" s="5"/>
      <c r="BA5" s="5" t="s">
        <v>14</v>
      </c>
      <c r="BB5" s="5">
        <v>1</v>
      </c>
      <c r="BC5" s="5">
        <v>1</v>
      </c>
      <c r="BD5" s="5">
        <v>1</v>
      </c>
      <c r="BE5" s="5">
        <v>2</v>
      </c>
      <c r="BF5" s="5">
        <v>0</v>
      </c>
      <c r="BG5" s="5">
        <v>0</v>
      </c>
      <c r="BH5" s="5">
        <v>0</v>
      </c>
      <c r="BI5" s="5">
        <v>0</v>
      </c>
      <c r="BJ5" s="5" t="s">
        <v>257</v>
      </c>
      <c r="BK5" s="17" t="s">
        <v>249</v>
      </c>
      <c r="BL5" s="13">
        <v>46025</v>
      </c>
      <c r="BM5" s="5" t="s">
        <v>7</v>
      </c>
      <c r="BN5" s="5" t="s">
        <v>8</v>
      </c>
      <c r="BO5" s="5" t="s">
        <v>15</v>
      </c>
      <c r="BP5" s="5" t="s">
        <v>9</v>
      </c>
      <c r="BQ5" s="5" t="s">
        <v>6</v>
      </c>
      <c r="BR5" s="5" t="s">
        <v>6</v>
      </c>
      <c r="BS5" s="5" t="s">
        <v>6</v>
      </c>
      <c r="BT5" s="5" t="s">
        <v>6</v>
      </c>
      <c r="BU5" s="5" t="s">
        <v>6</v>
      </c>
      <c r="BV5" s="5" t="s">
        <v>6</v>
      </c>
      <c r="BW5" s="5" t="s">
        <v>6</v>
      </c>
      <c r="BX5" s="5" t="s">
        <v>6</v>
      </c>
      <c r="BY5" s="5" t="s">
        <v>6</v>
      </c>
      <c r="BZ5" s="5" t="s">
        <v>6</v>
      </c>
      <c r="CA5" s="5" t="s">
        <v>6</v>
      </c>
      <c r="CB5" s="5" t="s">
        <v>6</v>
      </c>
      <c r="CC5" s="5" t="s">
        <v>6</v>
      </c>
      <c r="CD5" s="11" t="s">
        <v>10</v>
      </c>
      <c r="CE5" s="13">
        <v>46145</v>
      </c>
      <c r="CF5" s="5" t="s">
        <v>11</v>
      </c>
      <c r="CG5" s="5" t="s">
        <v>8</v>
      </c>
      <c r="CH5" s="5" t="s">
        <v>16</v>
      </c>
      <c r="CI5" s="5" t="s">
        <v>23</v>
      </c>
      <c r="CJ5" s="5"/>
      <c r="CK5" s="5"/>
    </row>
    <row r="6" spans="1:89" ht="135" x14ac:dyDescent="0.25">
      <c r="A6"/>
      <c r="B6" s="4" t="s">
        <v>251</v>
      </c>
      <c r="C6" s="4" t="s">
        <v>240</v>
      </c>
      <c r="D6" s="12" t="s">
        <v>135</v>
      </c>
      <c r="E6" s="3" t="s">
        <v>260</v>
      </c>
      <c r="F6" s="5">
        <v>5</v>
      </c>
      <c r="G6" s="13">
        <v>46100</v>
      </c>
      <c r="H6" s="5" t="s">
        <v>22</v>
      </c>
      <c r="I6" s="17" t="s">
        <v>241</v>
      </c>
      <c r="J6" s="17" t="s">
        <v>0</v>
      </c>
      <c r="K6" s="5" t="s">
        <v>0</v>
      </c>
      <c r="L6" s="5">
        <v>77</v>
      </c>
      <c r="M6" s="5">
        <v>46</v>
      </c>
      <c r="N6" s="26" t="s">
        <v>254</v>
      </c>
      <c r="O6" s="5" t="s">
        <v>116</v>
      </c>
      <c r="P6" s="5" t="s">
        <v>117</v>
      </c>
      <c r="Q6" s="20" t="s">
        <v>134</v>
      </c>
      <c r="R6" s="5" t="s">
        <v>21</v>
      </c>
      <c r="S6" s="5">
        <v>0.1804</v>
      </c>
      <c r="T6" s="21">
        <v>7.2999999999999995E-2</v>
      </c>
      <c r="U6" s="5">
        <v>0.1804</v>
      </c>
      <c r="V6" s="21">
        <v>7.2999999999999995E-2</v>
      </c>
      <c r="W6" s="5">
        <v>2536416</v>
      </c>
      <c r="X6" s="5">
        <v>101457</v>
      </c>
      <c r="Y6" s="5">
        <v>202914</v>
      </c>
      <c r="Z6" s="5">
        <v>0</v>
      </c>
      <c r="AA6" s="5">
        <v>0</v>
      </c>
      <c r="AB6" s="5">
        <v>0</v>
      </c>
      <c r="AC6" s="5">
        <v>0</v>
      </c>
      <c r="AD6" s="5">
        <v>0</v>
      </c>
      <c r="AE6" s="5">
        <v>0</v>
      </c>
      <c r="AF6" s="5">
        <v>202914</v>
      </c>
      <c r="AG6" s="5">
        <v>202914</v>
      </c>
      <c r="AH6" s="5">
        <v>0</v>
      </c>
      <c r="AI6" s="5">
        <v>28486</v>
      </c>
      <c r="AJ6" s="5">
        <v>434314</v>
      </c>
      <c r="AK6" s="5">
        <v>434314</v>
      </c>
      <c r="AL6" s="17" t="s">
        <v>133</v>
      </c>
      <c r="AM6" s="17" t="s">
        <v>132</v>
      </c>
      <c r="AN6" s="20" t="s">
        <v>134</v>
      </c>
      <c r="AO6" s="18" t="s">
        <v>243</v>
      </c>
      <c r="AP6" s="5" t="s">
        <v>244</v>
      </c>
      <c r="AQ6" s="5" t="s">
        <v>245</v>
      </c>
      <c r="AR6" s="5" t="s">
        <v>258</v>
      </c>
      <c r="AS6" s="5">
        <v>7682997204</v>
      </c>
      <c r="AT6" s="5">
        <v>56</v>
      </c>
      <c r="AU6" s="5" t="s">
        <v>248</v>
      </c>
      <c r="AV6" s="5" t="s">
        <v>5</v>
      </c>
      <c r="AW6" s="17" t="s">
        <v>13</v>
      </c>
      <c r="AX6" s="5" t="s">
        <v>256</v>
      </c>
      <c r="AY6" s="5">
        <v>145000</v>
      </c>
      <c r="AZ6" s="5"/>
      <c r="BA6" s="5" t="s">
        <v>14</v>
      </c>
      <c r="BB6" s="5">
        <v>1</v>
      </c>
      <c r="BC6" s="5">
        <v>2</v>
      </c>
      <c r="BD6" s="5">
        <v>0</v>
      </c>
      <c r="BE6" s="5">
        <v>2</v>
      </c>
      <c r="BF6" s="5">
        <v>0</v>
      </c>
      <c r="BG6" s="5">
        <v>0</v>
      </c>
      <c r="BH6" s="5">
        <v>0</v>
      </c>
      <c r="BI6" s="5">
        <v>0</v>
      </c>
      <c r="BJ6" s="5" t="s">
        <v>257</v>
      </c>
      <c r="BK6" s="17" t="s">
        <v>249</v>
      </c>
      <c r="BL6" s="13">
        <v>46025</v>
      </c>
      <c r="BM6" s="5" t="s">
        <v>7</v>
      </c>
      <c r="BN6" s="5" t="s">
        <v>8</v>
      </c>
      <c r="BO6" s="5" t="s">
        <v>15</v>
      </c>
      <c r="BP6" s="5" t="s">
        <v>9</v>
      </c>
      <c r="BQ6" s="5" t="s">
        <v>6</v>
      </c>
      <c r="BR6" s="5" t="s">
        <v>6</v>
      </c>
      <c r="BS6" s="5" t="s">
        <v>6</v>
      </c>
      <c r="BT6" s="5" t="s">
        <v>6</v>
      </c>
      <c r="BU6" s="5" t="s">
        <v>6</v>
      </c>
      <c r="BV6" s="5" t="s">
        <v>6</v>
      </c>
      <c r="BW6" s="5" t="s">
        <v>6</v>
      </c>
      <c r="BX6" s="5" t="s">
        <v>6</v>
      </c>
      <c r="BY6" s="5" t="s">
        <v>6</v>
      </c>
      <c r="BZ6" s="5" t="s">
        <v>6</v>
      </c>
      <c r="CA6" s="5" t="s">
        <v>6</v>
      </c>
      <c r="CB6" s="5" t="s">
        <v>6</v>
      </c>
      <c r="CC6" s="5" t="s">
        <v>6</v>
      </c>
      <c r="CD6" s="11" t="s">
        <v>255</v>
      </c>
      <c r="CE6" s="13">
        <v>46145</v>
      </c>
      <c r="CF6" s="5" t="s">
        <v>11</v>
      </c>
      <c r="CG6" s="5" t="s">
        <v>8</v>
      </c>
      <c r="CH6" s="5" t="s">
        <v>16</v>
      </c>
      <c r="CI6" s="5" t="s">
        <v>23</v>
      </c>
      <c r="CJ6" s="5"/>
      <c r="CK6" s="5"/>
    </row>
    <row r="7" spans="1:89" x14ac:dyDescent="0.25">
      <c r="A7"/>
    </row>
    <row r="8" spans="1:89" x14ac:dyDescent="0.25">
      <c r="A8"/>
    </row>
    <row r="9" spans="1:89" x14ac:dyDescent="0.25">
      <c r="A9"/>
    </row>
    <row r="10" spans="1:89" x14ac:dyDescent="0.25">
      <c r="A10"/>
    </row>
    <row r="11" spans="1:89" x14ac:dyDescent="0.25">
      <c r="A11"/>
    </row>
    <row r="12" spans="1:89" x14ac:dyDescent="0.25">
      <c r="A12"/>
    </row>
    <row r="13" spans="1:89" x14ac:dyDescent="0.25">
      <c r="A13"/>
    </row>
    <row r="14" spans="1:89" x14ac:dyDescent="0.25">
      <c r="A14"/>
    </row>
    <row r="15" spans="1:89" x14ac:dyDescent="0.25">
      <c r="A15"/>
    </row>
    <row r="16" spans="1:89" x14ac:dyDescent="0.25">
      <c r="A16"/>
    </row>
    <row r="17" spans="1:1" x14ac:dyDescent="0.25">
      <c r="A17"/>
    </row>
    <row r="18" spans="1:1" x14ac:dyDescent="0.25">
      <c r="A18"/>
    </row>
    <row r="19" spans="1:1" x14ac:dyDescent="0.25">
      <c r="A19"/>
    </row>
    <row r="20" spans="1:1" x14ac:dyDescent="0.25">
      <c r="A20"/>
    </row>
    <row r="21" spans="1:1" x14ac:dyDescent="0.25">
      <c r="A21"/>
    </row>
    <row r="22" spans="1:1" x14ac:dyDescent="0.25">
      <c r="A22"/>
    </row>
    <row r="23" spans="1:1" x14ac:dyDescent="0.25">
      <c r="A23"/>
    </row>
    <row r="24" spans="1:1" x14ac:dyDescent="0.25">
      <c r="A24"/>
    </row>
    <row r="25" spans="1:1" x14ac:dyDescent="0.25">
      <c r="A25"/>
    </row>
    <row r="26" spans="1:1" x14ac:dyDescent="0.25">
      <c r="A26"/>
    </row>
    <row r="27" spans="1:1" x14ac:dyDescent="0.25">
      <c r="A27"/>
    </row>
    <row r="28" spans="1:1" x14ac:dyDescent="0.25">
      <c r="A28"/>
    </row>
    <row r="29" spans="1:1" x14ac:dyDescent="0.25">
      <c r="A29"/>
    </row>
    <row r="30" spans="1:1" x14ac:dyDescent="0.25">
      <c r="A30"/>
    </row>
    <row r="31" spans="1:1" x14ac:dyDescent="0.25">
      <c r="A31"/>
    </row>
    <row r="32" spans="1:1" x14ac:dyDescent="0.25">
      <c r="A32"/>
    </row>
    <row r="33" spans="1:1" x14ac:dyDescent="0.25">
      <c r="A33"/>
    </row>
    <row r="34" spans="1:1" x14ac:dyDescent="0.25">
      <c r="A34"/>
    </row>
    <row r="35" spans="1:1" x14ac:dyDescent="0.25">
      <c r="A35"/>
    </row>
    <row r="36" spans="1:1" x14ac:dyDescent="0.25">
      <c r="A36"/>
    </row>
    <row r="37" spans="1:1" x14ac:dyDescent="0.25">
      <c r="A37"/>
    </row>
    <row r="38" spans="1:1" x14ac:dyDescent="0.25">
      <c r="A38"/>
    </row>
    <row r="39" spans="1:1" x14ac:dyDescent="0.25">
      <c r="A39"/>
    </row>
    <row r="40" spans="1:1" x14ac:dyDescent="0.25">
      <c r="A40"/>
    </row>
    <row r="41" spans="1:1" x14ac:dyDescent="0.25">
      <c r="A41"/>
    </row>
    <row r="42" spans="1:1" x14ac:dyDescent="0.25">
      <c r="A42"/>
    </row>
    <row r="43" spans="1:1" x14ac:dyDescent="0.25">
      <c r="A43"/>
    </row>
    <row r="44" spans="1:1" x14ac:dyDescent="0.25">
      <c r="A44"/>
    </row>
    <row r="45" spans="1:1" x14ac:dyDescent="0.25">
      <c r="A45"/>
    </row>
    <row r="46" spans="1:1" x14ac:dyDescent="0.25">
      <c r="A46"/>
    </row>
    <row r="47" spans="1:1" x14ac:dyDescent="0.25">
      <c r="A47"/>
    </row>
  </sheetData>
  <dataValidations count="1">
    <dataValidation type="list" allowBlank="1" showInputMessage="1" showErrorMessage="1" sqref="R2:R3" xr:uid="{95DC93CB-4172-4763-9192-FA15E55CAB50}">
      <formula1>"Full,Part,N.A."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90"/>
  <sheetViews>
    <sheetView workbookViewId="0">
      <selection activeCell="E5" sqref="E5"/>
    </sheetView>
  </sheetViews>
  <sheetFormatPr defaultRowHeight="15" x14ac:dyDescent="0.25"/>
  <cols>
    <col min="1" max="1" width="13.140625" customWidth="1"/>
    <col min="2" max="3" width="27.28515625" customWidth="1"/>
  </cols>
  <sheetData>
    <row r="1" spans="1:3" x14ac:dyDescent="0.25">
      <c r="A1" s="27" t="s">
        <v>139</v>
      </c>
      <c r="B1" s="28"/>
      <c r="C1" s="28"/>
    </row>
    <row r="2" spans="1:3" x14ac:dyDescent="0.25">
      <c r="A2" s="14" t="s">
        <v>112</v>
      </c>
      <c r="B2" s="1" t="s">
        <v>140</v>
      </c>
      <c r="C2" s="15" t="s">
        <v>141</v>
      </c>
    </row>
    <row r="3" spans="1:3" x14ac:dyDescent="0.25">
      <c r="A3" s="14" t="s">
        <v>46</v>
      </c>
      <c r="B3" s="15" t="s">
        <v>142</v>
      </c>
      <c r="C3" s="2" t="s">
        <v>143</v>
      </c>
    </row>
    <row r="4" spans="1:3" x14ac:dyDescent="0.25">
      <c r="A4" s="14" t="s">
        <v>47</v>
      </c>
      <c r="B4" s="15" t="s">
        <v>142</v>
      </c>
      <c r="C4" s="2" t="s">
        <v>144</v>
      </c>
    </row>
    <row r="5" spans="1:3" x14ac:dyDescent="0.25">
      <c r="A5" s="14" t="s">
        <v>48</v>
      </c>
      <c r="B5" s="15" t="s">
        <v>142</v>
      </c>
      <c r="C5" s="16" t="s">
        <v>145</v>
      </c>
    </row>
    <row r="6" spans="1:3" x14ac:dyDescent="0.25">
      <c r="A6" s="14" t="s">
        <v>49</v>
      </c>
      <c r="B6" s="15" t="s">
        <v>142</v>
      </c>
      <c r="C6" s="6" t="s">
        <v>146</v>
      </c>
    </row>
    <row r="7" spans="1:3" x14ac:dyDescent="0.25">
      <c r="A7" s="14" t="s">
        <v>45</v>
      </c>
      <c r="B7" s="1" t="s">
        <v>140</v>
      </c>
      <c r="C7" s="15" t="s">
        <v>147</v>
      </c>
    </row>
    <row r="8" spans="1:3" x14ac:dyDescent="0.25">
      <c r="A8" s="14" t="s">
        <v>50</v>
      </c>
      <c r="B8" s="1" t="s">
        <v>140</v>
      </c>
      <c r="C8" s="15" t="s">
        <v>141</v>
      </c>
    </row>
    <row r="9" spans="1:3" x14ac:dyDescent="0.25">
      <c r="A9" s="14" t="s">
        <v>51</v>
      </c>
      <c r="B9" s="1" t="s">
        <v>148</v>
      </c>
      <c r="C9" s="2" t="s">
        <v>149</v>
      </c>
    </row>
    <row r="10" spans="1:3" x14ac:dyDescent="0.25">
      <c r="A10" s="14" t="s">
        <v>52</v>
      </c>
      <c r="B10" s="1" t="s">
        <v>148</v>
      </c>
      <c r="C10" s="2" t="s">
        <v>150</v>
      </c>
    </row>
    <row r="11" spans="1:3" x14ac:dyDescent="0.25">
      <c r="A11" s="14" t="s">
        <v>53</v>
      </c>
      <c r="B11" s="1" t="s">
        <v>148</v>
      </c>
      <c r="C11" s="2" t="s">
        <v>151</v>
      </c>
    </row>
    <row r="12" spans="1:3" x14ac:dyDescent="0.25">
      <c r="A12" s="14" t="s">
        <v>54</v>
      </c>
      <c r="B12" s="1" t="s">
        <v>148</v>
      </c>
      <c r="C12" s="2" t="s">
        <v>152</v>
      </c>
    </row>
    <row r="13" spans="1:3" x14ac:dyDescent="0.25">
      <c r="A13" s="14" t="s">
        <v>55</v>
      </c>
      <c r="B13" s="1" t="s">
        <v>148</v>
      </c>
      <c r="C13" s="2" t="s">
        <v>153</v>
      </c>
    </row>
    <row r="14" spans="1:3" x14ac:dyDescent="0.25">
      <c r="A14" s="14" t="s">
        <v>56</v>
      </c>
      <c r="B14" s="1" t="s">
        <v>148</v>
      </c>
      <c r="C14" s="2" t="s">
        <v>154</v>
      </c>
    </row>
    <row r="15" spans="1:3" x14ac:dyDescent="0.25">
      <c r="A15" s="14" t="s">
        <v>57</v>
      </c>
      <c r="B15" s="1" t="s">
        <v>148</v>
      </c>
      <c r="C15" s="2" t="s">
        <v>155</v>
      </c>
    </row>
    <row r="16" spans="1:3" x14ac:dyDescent="0.25">
      <c r="A16" s="14" t="s">
        <v>58</v>
      </c>
      <c r="B16" s="1" t="s">
        <v>148</v>
      </c>
      <c r="C16" s="2" t="s">
        <v>156</v>
      </c>
    </row>
    <row r="17" spans="1:3" x14ac:dyDescent="0.25">
      <c r="A17" s="14" t="s">
        <v>59</v>
      </c>
      <c r="B17" s="1" t="s">
        <v>148</v>
      </c>
      <c r="C17" s="2" t="s">
        <v>157</v>
      </c>
    </row>
    <row r="18" spans="1:3" x14ac:dyDescent="0.25">
      <c r="A18" s="14" t="s">
        <v>25</v>
      </c>
      <c r="B18" s="1" t="s">
        <v>148</v>
      </c>
      <c r="C18" s="2" t="s">
        <v>158</v>
      </c>
    </row>
    <row r="19" spans="1:3" x14ac:dyDescent="0.25">
      <c r="A19" s="14" t="s">
        <v>26</v>
      </c>
      <c r="B19" s="1" t="s">
        <v>148</v>
      </c>
      <c r="C19" s="2" t="s">
        <v>159</v>
      </c>
    </row>
    <row r="20" spans="1:3" x14ac:dyDescent="0.25">
      <c r="A20" s="14" t="s">
        <v>60</v>
      </c>
      <c r="B20" s="15" t="s">
        <v>160</v>
      </c>
      <c r="C20" s="16" t="s">
        <v>161</v>
      </c>
    </row>
    <row r="21" spans="1:3" x14ac:dyDescent="0.25">
      <c r="A21" s="14" t="s">
        <v>61</v>
      </c>
      <c r="B21" s="15" t="s">
        <v>160</v>
      </c>
      <c r="C21" s="16" t="s">
        <v>162</v>
      </c>
    </row>
    <row r="22" spans="1:3" x14ac:dyDescent="0.25">
      <c r="A22" s="14" t="s">
        <v>62</v>
      </c>
      <c r="B22" s="15" t="s">
        <v>160</v>
      </c>
      <c r="C22" s="16" t="s">
        <v>163</v>
      </c>
    </row>
    <row r="23" spans="1:3" ht="30" x14ac:dyDescent="0.25">
      <c r="A23" s="14" t="s">
        <v>63</v>
      </c>
      <c r="B23" s="15" t="s">
        <v>160</v>
      </c>
      <c r="C23" s="16" t="s">
        <v>164</v>
      </c>
    </row>
    <row r="24" spans="1:3" x14ac:dyDescent="0.25">
      <c r="A24" s="14" t="s">
        <v>64</v>
      </c>
      <c r="B24" s="15" t="s">
        <v>160</v>
      </c>
      <c r="C24" s="6" t="s">
        <v>165</v>
      </c>
    </row>
    <row r="25" spans="1:3" x14ac:dyDescent="0.25">
      <c r="A25" s="14" t="s">
        <v>65</v>
      </c>
      <c r="B25" s="15" t="s">
        <v>160</v>
      </c>
      <c r="C25" s="2" t="s">
        <v>166</v>
      </c>
    </row>
    <row r="26" spans="1:3" ht="45" x14ac:dyDescent="0.25">
      <c r="A26" s="14" t="s">
        <v>66</v>
      </c>
      <c r="B26" s="15" t="s">
        <v>160</v>
      </c>
      <c r="C26" s="16" t="s">
        <v>167</v>
      </c>
    </row>
    <row r="27" spans="1:3" x14ac:dyDescent="0.25">
      <c r="A27" s="14" t="s">
        <v>67</v>
      </c>
      <c r="B27" s="15" t="s">
        <v>160</v>
      </c>
      <c r="C27" s="2" t="s">
        <v>168</v>
      </c>
    </row>
    <row r="28" spans="1:3" x14ac:dyDescent="0.25">
      <c r="A28" s="14" t="s">
        <v>68</v>
      </c>
      <c r="B28" s="15" t="s">
        <v>160</v>
      </c>
      <c r="C28" s="16" t="s">
        <v>169</v>
      </c>
    </row>
    <row r="29" spans="1:3" x14ac:dyDescent="0.25">
      <c r="A29" s="14" t="s">
        <v>24</v>
      </c>
      <c r="B29" s="15" t="s">
        <v>160</v>
      </c>
      <c r="C29" s="16" t="s">
        <v>170</v>
      </c>
    </row>
    <row r="30" spans="1:3" x14ac:dyDescent="0.25">
      <c r="A30" s="14" t="s">
        <v>27</v>
      </c>
      <c r="B30" s="15" t="s">
        <v>160</v>
      </c>
      <c r="C30" s="16" t="s">
        <v>171</v>
      </c>
    </row>
    <row r="31" spans="1:3" ht="30" x14ac:dyDescent="0.25">
      <c r="A31" s="14" t="s">
        <v>28</v>
      </c>
      <c r="B31" s="15" t="s">
        <v>160</v>
      </c>
      <c r="C31" s="16" t="s">
        <v>172</v>
      </c>
    </row>
    <row r="32" spans="1:3" ht="45" x14ac:dyDescent="0.25">
      <c r="A32" s="14" t="s">
        <v>29</v>
      </c>
      <c r="B32" s="15" t="s">
        <v>160</v>
      </c>
      <c r="C32" s="16" t="s">
        <v>173</v>
      </c>
    </row>
    <row r="33" spans="1:3" ht="45" x14ac:dyDescent="0.25">
      <c r="A33" s="14" t="s">
        <v>30</v>
      </c>
      <c r="B33" s="15" t="s">
        <v>160</v>
      </c>
      <c r="C33" s="16" t="s">
        <v>174</v>
      </c>
    </row>
    <row r="34" spans="1:3" x14ac:dyDescent="0.25">
      <c r="A34" s="14" t="s">
        <v>31</v>
      </c>
      <c r="B34" s="15" t="s">
        <v>160</v>
      </c>
      <c r="C34" s="16" t="s">
        <v>175</v>
      </c>
    </row>
    <row r="35" spans="1:3" x14ac:dyDescent="0.25">
      <c r="A35" s="14" t="s">
        <v>32</v>
      </c>
      <c r="B35" s="15" t="s">
        <v>160</v>
      </c>
      <c r="C35" s="16" t="s">
        <v>176</v>
      </c>
    </row>
    <row r="36" spans="1:3" ht="45" x14ac:dyDescent="0.25">
      <c r="A36" s="14" t="s">
        <v>33</v>
      </c>
      <c r="B36" s="15" t="s">
        <v>160</v>
      </c>
      <c r="C36" s="16" t="s">
        <v>177</v>
      </c>
    </row>
    <row r="37" spans="1:3" x14ac:dyDescent="0.25">
      <c r="A37" s="14" t="s">
        <v>34</v>
      </c>
      <c r="B37" s="15" t="s">
        <v>160</v>
      </c>
      <c r="C37" s="16" t="s">
        <v>178</v>
      </c>
    </row>
    <row r="38" spans="1:3" ht="45" x14ac:dyDescent="0.25">
      <c r="A38" s="14" t="s">
        <v>35</v>
      </c>
      <c r="B38" s="15" t="s">
        <v>160</v>
      </c>
      <c r="C38" s="16" t="s">
        <v>179</v>
      </c>
    </row>
    <row r="39" spans="1:3" x14ac:dyDescent="0.25">
      <c r="A39" s="14" t="s">
        <v>36</v>
      </c>
      <c r="B39" s="15" t="s">
        <v>160</v>
      </c>
      <c r="C39" s="16" t="s">
        <v>180</v>
      </c>
    </row>
    <row r="40" spans="1:3" x14ac:dyDescent="0.25">
      <c r="A40" s="14" t="s">
        <v>37</v>
      </c>
      <c r="B40" s="15" t="s">
        <v>160</v>
      </c>
      <c r="C40" s="2" t="s">
        <v>181</v>
      </c>
    </row>
    <row r="41" spans="1:3" x14ac:dyDescent="0.25">
      <c r="A41" s="14" t="s">
        <v>38</v>
      </c>
      <c r="B41" s="15" t="s">
        <v>160</v>
      </c>
      <c r="C41" s="2" t="s">
        <v>158</v>
      </c>
    </row>
    <row r="42" spans="1:3" x14ac:dyDescent="0.25">
      <c r="A42" s="14" t="s">
        <v>69</v>
      </c>
      <c r="B42" s="1" t="s">
        <v>182</v>
      </c>
      <c r="C42" s="16" t="s">
        <v>183</v>
      </c>
    </row>
    <row r="43" spans="1:3" x14ac:dyDescent="0.25">
      <c r="A43" s="14" t="s">
        <v>70</v>
      </c>
      <c r="B43" s="1" t="s">
        <v>182</v>
      </c>
      <c r="C43" s="16" t="s">
        <v>184</v>
      </c>
    </row>
    <row r="44" spans="1:3" ht="30" x14ac:dyDescent="0.25">
      <c r="A44" s="14" t="s">
        <v>71</v>
      </c>
      <c r="B44" s="1" t="s">
        <v>182</v>
      </c>
      <c r="C44" s="16" t="s">
        <v>185</v>
      </c>
    </row>
    <row r="45" spans="1:3" x14ac:dyDescent="0.25">
      <c r="A45" s="14" t="s">
        <v>72</v>
      </c>
      <c r="B45" s="1" t="s">
        <v>186</v>
      </c>
      <c r="C45" s="2" t="s">
        <v>187</v>
      </c>
    </row>
    <row r="46" spans="1:3" x14ac:dyDescent="0.25">
      <c r="A46" s="14" t="s">
        <v>73</v>
      </c>
      <c r="B46" s="1" t="s">
        <v>186</v>
      </c>
      <c r="C46" s="2" t="s">
        <v>188</v>
      </c>
    </row>
    <row r="47" spans="1:3" x14ac:dyDescent="0.25">
      <c r="A47" s="14" t="s">
        <v>74</v>
      </c>
      <c r="B47" s="1" t="s">
        <v>186</v>
      </c>
      <c r="C47" s="2" t="s">
        <v>189</v>
      </c>
    </row>
    <row r="48" spans="1:3" x14ac:dyDescent="0.25">
      <c r="A48" s="14" t="s">
        <v>75</v>
      </c>
      <c r="B48" s="1" t="s">
        <v>186</v>
      </c>
      <c r="C48" s="2" t="s">
        <v>190</v>
      </c>
    </row>
    <row r="49" spans="1:3" x14ac:dyDescent="0.25">
      <c r="A49" s="14" t="s">
        <v>76</v>
      </c>
      <c r="B49" s="1" t="s">
        <v>186</v>
      </c>
      <c r="C49" s="16" t="s">
        <v>191</v>
      </c>
    </row>
    <row r="50" spans="1:3" x14ac:dyDescent="0.25">
      <c r="A50" s="14" t="s">
        <v>77</v>
      </c>
      <c r="B50" s="1" t="s">
        <v>186</v>
      </c>
      <c r="C50" s="2" t="s">
        <v>192</v>
      </c>
    </row>
    <row r="51" spans="1:3" x14ac:dyDescent="0.25">
      <c r="A51" s="14" t="s">
        <v>78</v>
      </c>
      <c r="B51" s="1" t="s">
        <v>186</v>
      </c>
      <c r="C51" s="2" t="s">
        <v>193</v>
      </c>
    </row>
    <row r="52" spans="1:3" x14ac:dyDescent="0.25">
      <c r="A52" s="14" t="s">
        <v>79</v>
      </c>
      <c r="B52" s="1" t="s">
        <v>186</v>
      </c>
      <c r="C52" s="16" t="s">
        <v>194</v>
      </c>
    </row>
    <row r="53" spans="1:3" x14ac:dyDescent="0.25">
      <c r="A53" s="14" t="s">
        <v>80</v>
      </c>
      <c r="B53" s="1" t="s">
        <v>186</v>
      </c>
      <c r="C53" s="16" t="s">
        <v>195</v>
      </c>
    </row>
    <row r="54" spans="1:3" ht="30" x14ac:dyDescent="0.25">
      <c r="A54" s="14" t="s">
        <v>39</v>
      </c>
      <c r="B54" s="1" t="s">
        <v>186</v>
      </c>
      <c r="C54" s="16" t="s">
        <v>196</v>
      </c>
    </row>
    <row r="55" spans="1:3" ht="30" x14ac:dyDescent="0.25">
      <c r="A55" s="14" t="s">
        <v>81</v>
      </c>
      <c r="B55" s="1" t="s">
        <v>197</v>
      </c>
      <c r="C55" s="16" t="s">
        <v>198</v>
      </c>
    </row>
    <row r="56" spans="1:3" ht="30" x14ac:dyDescent="0.25">
      <c r="A56" s="14" t="s">
        <v>82</v>
      </c>
      <c r="B56" s="1" t="s">
        <v>197</v>
      </c>
      <c r="C56" s="16" t="s">
        <v>199</v>
      </c>
    </row>
    <row r="57" spans="1:3" ht="30" x14ac:dyDescent="0.25">
      <c r="A57" s="14" t="s">
        <v>83</v>
      </c>
      <c r="B57" s="1" t="s">
        <v>197</v>
      </c>
      <c r="C57" s="16" t="s">
        <v>200</v>
      </c>
    </row>
    <row r="58" spans="1:3" ht="30" x14ac:dyDescent="0.25">
      <c r="A58" s="14" t="s">
        <v>84</v>
      </c>
      <c r="B58" s="1" t="s">
        <v>197</v>
      </c>
      <c r="C58" s="16" t="s">
        <v>201</v>
      </c>
    </row>
    <row r="59" spans="1:3" ht="30" x14ac:dyDescent="0.25">
      <c r="A59" s="14" t="s">
        <v>85</v>
      </c>
      <c r="B59" s="1" t="s">
        <v>197</v>
      </c>
      <c r="C59" s="16" t="s">
        <v>202</v>
      </c>
    </row>
    <row r="60" spans="1:3" ht="30" x14ac:dyDescent="0.25">
      <c r="A60" s="14" t="s">
        <v>86</v>
      </c>
      <c r="B60" s="1" t="s">
        <v>197</v>
      </c>
      <c r="C60" s="16" t="s">
        <v>203</v>
      </c>
    </row>
    <row r="61" spans="1:3" ht="30" x14ac:dyDescent="0.25">
      <c r="A61" s="14" t="s">
        <v>87</v>
      </c>
      <c r="B61" s="1" t="s">
        <v>197</v>
      </c>
      <c r="C61" s="16" t="s">
        <v>204</v>
      </c>
    </row>
    <row r="62" spans="1:3" ht="30" x14ac:dyDescent="0.25">
      <c r="A62" s="14" t="s">
        <v>88</v>
      </c>
      <c r="B62" s="1" t="s">
        <v>197</v>
      </c>
      <c r="C62" s="16" t="s">
        <v>205</v>
      </c>
    </row>
    <row r="63" spans="1:3" ht="30" x14ac:dyDescent="0.25">
      <c r="A63" s="14" t="s">
        <v>89</v>
      </c>
      <c r="B63" s="1" t="s">
        <v>197</v>
      </c>
      <c r="C63" s="16" t="s">
        <v>206</v>
      </c>
    </row>
    <row r="64" spans="1:3" x14ac:dyDescent="0.25">
      <c r="A64" s="14" t="s">
        <v>90</v>
      </c>
      <c r="B64" s="1" t="s">
        <v>207</v>
      </c>
      <c r="C64" s="16" t="s">
        <v>208</v>
      </c>
    </row>
    <row r="65" spans="1:3" x14ac:dyDescent="0.25">
      <c r="A65" s="14" t="s">
        <v>91</v>
      </c>
      <c r="B65" s="1" t="s">
        <v>207</v>
      </c>
      <c r="C65" s="16" t="s">
        <v>209</v>
      </c>
    </row>
    <row r="66" spans="1:3" x14ac:dyDescent="0.25">
      <c r="A66" s="14" t="s">
        <v>92</v>
      </c>
      <c r="B66" s="1" t="s">
        <v>207</v>
      </c>
      <c r="C66" s="16" t="s">
        <v>210</v>
      </c>
    </row>
    <row r="67" spans="1:3" x14ac:dyDescent="0.25">
      <c r="A67" s="14" t="s">
        <v>93</v>
      </c>
      <c r="B67" s="1" t="s">
        <v>207</v>
      </c>
      <c r="C67" s="16" t="s">
        <v>211</v>
      </c>
    </row>
    <row r="68" spans="1:3" x14ac:dyDescent="0.25">
      <c r="A68" s="14" t="s">
        <v>94</v>
      </c>
      <c r="B68" s="1" t="s">
        <v>207</v>
      </c>
      <c r="C68" s="16" t="s">
        <v>212</v>
      </c>
    </row>
    <row r="69" spans="1:3" ht="30" x14ac:dyDescent="0.25">
      <c r="A69" s="14" t="s">
        <v>95</v>
      </c>
      <c r="B69" s="15" t="s">
        <v>213</v>
      </c>
      <c r="C69" s="16" t="s">
        <v>214</v>
      </c>
    </row>
    <row r="70" spans="1:3" ht="30" x14ac:dyDescent="0.25">
      <c r="A70" s="14" t="s">
        <v>96</v>
      </c>
      <c r="B70" s="15" t="s">
        <v>213</v>
      </c>
      <c r="C70" s="16" t="s">
        <v>215</v>
      </c>
    </row>
    <row r="71" spans="1:3" ht="30" x14ac:dyDescent="0.25">
      <c r="A71" s="14" t="s">
        <v>97</v>
      </c>
      <c r="B71" s="15" t="s">
        <v>213</v>
      </c>
      <c r="C71" s="16" t="s">
        <v>216</v>
      </c>
    </row>
    <row r="72" spans="1:3" ht="45" x14ac:dyDescent="0.25">
      <c r="A72" s="14" t="s">
        <v>98</v>
      </c>
      <c r="B72" s="15" t="s">
        <v>213</v>
      </c>
      <c r="C72" s="16" t="s">
        <v>217</v>
      </c>
    </row>
    <row r="73" spans="1:3" ht="45" x14ac:dyDescent="0.25">
      <c r="A73" s="14" t="s">
        <v>99</v>
      </c>
      <c r="B73" s="15" t="s">
        <v>213</v>
      </c>
      <c r="C73" s="16" t="s">
        <v>218</v>
      </c>
    </row>
    <row r="74" spans="1:3" ht="45" x14ac:dyDescent="0.25">
      <c r="A74" s="14" t="s">
        <v>100</v>
      </c>
      <c r="B74" s="15" t="s">
        <v>213</v>
      </c>
      <c r="C74" s="16" t="s">
        <v>219</v>
      </c>
    </row>
    <row r="75" spans="1:3" ht="30" x14ac:dyDescent="0.25">
      <c r="A75" s="14" t="s">
        <v>101</v>
      </c>
      <c r="B75" s="15" t="s">
        <v>213</v>
      </c>
      <c r="C75" s="16" t="s">
        <v>220</v>
      </c>
    </row>
    <row r="76" spans="1:3" ht="45" x14ac:dyDescent="0.25">
      <c r="A76" s="14" t="s">
        <v>102</v>
      </c>
      <c r="B76" s="15" t="s">
        <v>213</v>
      </c>
      <c r="C76" s="16" t="s">
        <v>221</v>
      </c>
    </row>
    <row r="77" spans="1:3" ht="30" x14ac:dyDescent="0.25">
      <c r="A77" s="14" t="s">
        <v>103</v>
      </c>
      <c r="B77" s="15" t="s">
        <v>213</v>
      </c>
      <c r="C77" s="16" t="s">
        <v>222</v>
      </c>
    </row>
    <row r="78" spans="1:3" ht="30" x14ac:dyDescent="0.25">
      <c r="A78" s="14" t="s">
        <v>40</v>
      </c>
      <c r="B78" s="15" t="s">
        <v>213</v>
      </c>
      <c r="C78" s="16" t="s">
        <v>223</v>
      </c>
    </row>
    <row r="79" spans="1:3" ht="30" x14ac:dyDescent="0.25">
      <c r="A79" s="14" t="s">
        <v>41</v>
      </c>
      <c r="B79" s="15" t="s">
        <v>213</v>
      </c>
      <c r="C79" s="16" t="s">
        <v>224</v>
      </c>
    </row>
    <row r="80" spans="1:3" ht="45" x14ac:dyDescent="0.25">
      <c r="A80" s="14" t="s">
        <v>42</v>
      </c>
      <c r="B80" s="15" t="s">
        <v>213</v>
      </c>
      <c r="C80" s="16" t="s">
        <v>225</v>
      </c>
    </row>
    <row r="81" spans="1:3" ht="30" x14ac:dyDescent="0.25">
      <c r="A81" s="14" t="s">
        <v>43</v>
      </c>
      <c r="B81" s="15" t="s">
        <v>213</v>
      </c>
      <c r="C81" s="16" t="s">
        <v>226</v>
      </c>
    </row>
    <row r="82" spans="1:3" ht="30" x14ac:dyDescent="0.25">
      <c r="A82" s="14" t="s">
        <v>44</v>
      </c>
      <c r="B82" s="15" t="s">
        <v>213</v>
      </c>
      <c r="C82" s="16" t="s">
        <v>227</v>
      </c>
    </row>
    <row r="83" spans="1:3" x14ac:dyDescent="0.25">
      <c r="A83" s="14" t="s">
        <v>104</v>
      </c>
      <c r="B83" s="1" t="s">
        <v>228</v>
      </c>
      <c r="C83" s="16" t="s">
        <v>229</v>
      </c>
    </row>
    <row r="84" spans="1:3" x14ac:dyDescent="0.25">
      <c r="A84" s="14" t="s">
        <v>105</v>
      </c>
      <c r="B84" s="1" t="s">
        <v>228</v>
      </c>
      <c r="C84" s="16" t="s">
        <v>230</v>
      </c>
    </row>
    <row r="85" spans="1:3" x14ac:dyDescent="0.25">
      <c r="A85" s="14" t="s">
        <v>106</v>
      </c>
      <c r="B85" s="1" t="s">
        <v>228</v>
      </c>
      <c r="C85" s="16" t="s">
        <v>231</v>
      </c>
    </row>
    <row r="86" spans="1:3" x14ac:dyDescent="0.25">
      <c r="A86" s="14" t="s">
        <v>107</v>
      </c>
      <c r="B86" s="1" t="s">
        <v>228</v>
      </c>
      <c r="C86" s="16" t="s">
        <v>232</v>
      </c>
    </row>
    <row r="87" spans="1:3" x14ac:dyDescent="0.25">
      <c r="A87" s="14" t="s">
        <v>108</v>
      </c>
      <c r="B87" s="1" t="s">
        <v>228</v>
      </c>
      <c r="C87" s="16" t="s">
        <v>233</v>
      </c>
    </row>
    <row r="88" spans="1:3" x14ac:dyDescent="0.25">
      <c r="A88" s="14" t="s">
        <v>109</v>
      </c>
      <c r="B88" s="1" t="s">
        <v>234</v>
      </c>
      <c r="C88" s="16" t="s">
        <v>235</v>
      </c>
    </row>
    <row r="89" spans="1:3" x14ac:dyDescent="0.25">
      <c r="A89" s="14" t="s">
        <v>110</v>
      </c>
      <c r="B89" s="1" t="s">
        <v>234</v>
      </c>
      <c r="C89" s="16" t="s">
        <v>236</v>
      </c>
    </row>
    <row r="90" spans="1:3" x14ac:dyDescent="0.25">
      <c r="A90" s="14" t="s">
        <v>111</v>
      </c>
      <c r="B90" s="1" t="s">
        <v>234</v>
      </c>
      <c r="C90" s="16" t="s">
        <v>237</v>
      </c>
    </row>
  </sheetData>
  <mergeCells count="1">
    <mergeCell ref="A1:C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Alok Mohanty</dc:creator>
  <cp:keywords/>
  <dc:description/>
  <cp:lastModifiedBy>Rupamudra maastrix</cp:lastModifiedBy>
  <cp:revision/>
  <dcterms:created xsi:type="dcterms:W3CDTF">2025-10-17T11:48:31Z</dcterms:created>
  <dcterms:modified xsi:type="dcterms:W3CDTF">2026-04-28T13:43:23Z</dcterms:modified>
  <cp:category/>
  <cp:contentStatus/>
</cp:coreProperties>
</file>