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defaultThemeVersion="166925"/>
  <mc:AlternateContent xmlns:mc="http://schemas.openxmlformats.org/markup-compatibility/2006">
    <mc:Choice Requires="x15">
      <x15ac:absPath xmlns:x15ac="http://schemas.microsoft.com/office/spreadsheetml/2010/11/ac" url="C:\Users\user\Desktop\lims up file format\"/>
    </mc:Choice>
  </mc:AlternateContent>
  <xr:revisionPtr revIDLastSave="0" documentId="13_ncr:1_{DB4CAD66-14F8-4E7D-8A41-856809180B3E}" xr6:coauthVersionLast="47" xr6:coauthVersionMax="47" xr10:uidLastSave="{00000000-0000-0000-0000-000000000000}"/>
  <bookViews>
    <workbookView xWindow="-120" yWindow="-120" windowWidth="20730" windowHeight="11040" xr2:uid="{00000000-000D-0000-FFFF-FFFF00000000}"/>
  </bookViews>
  <sheets>
    <sheet name="Sheet2" sheetId="1" r:id="rId1"/>
    <sheet name="Sheet1" sheetId="2" r:id="rId2"/>
  </sheets>
  <definedNames>
    <definedName name="_xlnm._FilterDatabase" localSheetId="0" hidden="1">Sheet2!$A$1:$CO$100</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S51" i="1" l="1"/>
  <c r="S50" i="1"/>
  <c r="S49" i="1"/>
</calcChain>
</file>

<file path=xl/sharedStrings.xml><?xml version="1.0" encoding="utf-8"?>
<sst xmlns="http://schemas.openxmlformats.org/spreadsheetml/2006/main" count="1525" uniqueCount="474">
  <si>
    <t>SES Survey No.</t>
  </si>
  <si>
    <t>LA Case File No.</t>
  </si>
  <si>
    <t>Date of Award</t>
  </si>
  <si>
    <t>LO1-Name of Recorded Tenant (RT)</t>
  </si>
  <si>
    <t>LO2-Name of Present Tenant(s)</t>
  </si>
  <si>
    <t>Present Address</t>
  </si>
  <si>
    <t>Displaced/Affected Person</t>
  </si>
  <si>
    <t>Name of Village</t>
  </si>
  <si>
    <t>Name of the Tahasil</t>
  </si>
  <si>
    <t>Name of the R.I. Circle</t>
  </si>
  <si>
    <t>Thana No.</t>
  </si>
  <si>
    <t>Khata No.</t>
  </si>
  <si>
    <t>Plot No.</t>
  </si>
  <si>
    <t>Kissam of the Land</t>
  </si>
  <si>
    <t>LO12-Category of Land</t>
  </si>
  <si>
    <t>LO13-Remarks</t>
  </si>
  <si>
    <t>LA1-Land Area (Total Area in Acres)</t>
  </si>
  <si>
    <t>LA2-Land Area (Total Area in Ha.)</t>
  </si>
  <si>
    <t>Land Area (Total Acquired Area in Acres)</t>
  </si>
  <si>
    <t>Land Area (Total Acquired Area in Ha.)</t>
  </si>
  <si>
    <t>Market Value fixed U/S.26 of RFCTLARR Act 2013 (Per Acre)</t>
  </si>
  <si>
    <t>Basic Land value</t>
  </si>
  <si>
    <t>Land value  with multiplication factor (Values from 1 to 2)</t>
  </si>
  <si>
    <t>No. of Trees</t>
  </si>
  <si>
    <t xml:space="preserve">Total Value of Trees </t>
  </si>
  <si>
    <t>No. of House</t>
  </si>
  <si>
    <t xml:space="preserve"> Value of Structure (house)</t>
  </si>
  <si>
    <t>Detail of Structures other than House</t>
  </si>
  <si>
    <t xml:space="preserve">Value of structures other than house
</t>
  </si>
  <si>
    <t xml:space="preserve"> Total Value  (Land-22 + Tree-24 + House-26 + Structures-28)</t>
  </si>
  <si>
    <t xml:space="preserve">Solatium @ of (100%) </t>
  </si>
  <si>
    <t xml:space="preserve">12% additional compensation on market value of land area </t>
  </si>
  <si>
    <t>Total Compensation Amount</t>
  </si>
  <si>
    <t>LA18-Apportionment Amount of the Award for the Individual Family Member</t>
  </si>
  <si>
    <t>LA19-Priority/Urgency</t>
  </si>
  <si>
    <t>LA20-Land Use Plan</t>
  </si>
  <si>
    <t>LA21-Remarks</t>
  </si>
  <si>
    <t>BK01-Bank Account No.</t>
  </si>
  <si>
    <t>BK02-Name of the Bank</t>
  </si>
  <si>
    <t>BK03-Name of the Branch with IFSC Code</t>
  </si>
  <si>
    <t>PD01-Aadhaar No.</t>
  </si>
  <si>
    <t>PAN No.</t>
  </si>
  <si>
    <t>Age</t>
  </si>
  <si>
    <t>Caste</t>
  </si>
  <si>
    <t>Marital Status</t>
  </si>
  <si>
    <t>Education</t>
  </si>
  <si>
    <t>Occupation</t>
  </si>
  <si>
    <t>Annual Income</t>
  </si>
  <si>
    <t>PD09- Skill Acquired</t>
  </si>
  <si>
    <t>PD10-Affidavit with subject details (if any)</t>
  </si>
  <si>
    <t>FD01-No. of Family Members (Major Male)</t>
  </si>
  <si>
    <t>No. of Family Members (Major Female)</t>
  </si>
  <si>
    <t>No. of Family Members (Minor Male)</t>
  </si>
  <si>
    <t>No. of Family Members (Minor Female)</t>
  </si>
  <si>
    <t>No. of Family Members (Major Transgender)</t>
  </si>
  <si>
    <t>No. of Family Members (Minor Transgender)</t>
  </si>
  <si>
    <t xml:space="preserve">No. of Persons with Disability </t>
  </si>
  <si>
    <t>Family with Orphan Members (Y/N)</t>
  </si>
  <si>
    <t>FD09-Legal Heir Certificate No. (if any)</t>
  </si>
  <si>
    <t>LG01-Land Case - No. (Number)</t>
  </si>
  <si>
    <t>Land Case - Date (Date)</t>
  </si>
  <si>
    <t>Land Case Type</t>
  </si>
  <si>
    <t>Land case - Status</t>
  </si>
  <si>
    <t>LG05-Land Case - Action</t>
  </si>
  <si>
    <t xml:space="preserve">RR Assistance (Rehab) - Employment in the Project </t>
  </si>
  <si>
    <t>RR Assistance (Rehab) - Cash in lieu of Employment</t>
  </si>
  <si>
    <t>RR Assistance (Rehab) - Training for Skill Upgradation</t>
  </si>
  <si>
    <t>RR Assistance (Rehab) - Assistance for Self Employment</t>
  </si>
  <si>
    <t>RR Assistance (Rehab) - Special Allowance to STs for loss of NTFP</t>
  </si>
  <si>
    <t>RR Assistance (Resettle) - Homested Land Alloted/Self Relocation</t>
  </si>
  <si>
    <t>RR Assistance (Resettle) - House Building Assistance</t>
  </si>
  <si>
    <t>RR Assistance (Resettle) - Constructed by Project Authority/Self</t>
  </si>
  <si>
    <t>RR Assistance (Resettle) - Assistance for Transit Shed</t>
  </si>
  <si>
    <t>RR Assistance (Resettle) - Transportation Allowance</t>
  </si>
  <si>
    <t>RR Assistance (Resettle) - Maintenance Allowance</t>
  </si>
  <si>
    <t>RR Assistance (Other) - Special Allowance for Multiple Displacement</t>
  </si>
  <si>
    <t>RR Assistance (Other) - Ex-Gratia (if any)</t>
  </si>
  <si>
    <t>RR Assistance (Other) - Other Benefits (if any)</t>
  </si>
  <si>
    <t xml:space="preserve">GR01-Grievance No. </t>
  </si>
  <si>
    <t>Grievance  Date</t>
  </si>
  <si>
    <t>Grievance - Subject Matter</t>
  </si>
  <si>
    <t>Grievance - Present Status</t>
  </si>
  <si>
    <t>GR05-Grievance - Action taken</t>
  </si>
  <si>
    <t>TR01-Tribunal (Y/N)</t>
  </si>
  <si>
    <t>Tribunal - Date of Deposit</t>
  </si>
  <si>
    <t>TR03-Tribunal - Amount Deposited</t>
  </si>
  <si>
    <t>GV01-Premium</t>
  </si>
  <si>
    <t>GV02-Ground Rent</t>
  </si>
  <si>
    <t>GV03-Cess</t>
  </si>
  <si>
    <t>GV04-Incidental Charges</t>
  </si>
  <si>
    <t>GV05-Total</t>
  </si>
  <si>
    <t>Village Code</t>
  </si>
  <si>
    <t>Abatement</t>
  </si>
  <si>
    <t>Gharabari</t>
  </si>
  <si>
    <t>Patita</t>
  </si>
  <si>
    <t>407/73</t>
  </si>
  <si>
    <t>407/36</t>
  </si>
  <si>
    <t>407/225</t>
  </si>
  <si>
    <t>407/468</t>
  </si>
  <si>
    <t>407/78</t>
  </si>
  <si>
    <t>407/168</t>
  </si>
  <si>
    <t>407/214</t>
  </si>
  <si>
    <t>407/92</t>
  </si>
  <si>
    <t>407/283</t>
  </si>
  <si>
    <t>407/282</t>
  </si>
  <si>
    <t>Nrusingh Charan Majhi</t>
  </si>
  <si>
    <t>Debadhi Majhi</t>
  </si>
  <si>
    <t>Anjali Behera</t>
  </si>
  <si>
    <t>Madan Mohan Majhi</t>
  </si>
  <si>
    <t>Murali Majhi</t>
  </si>
  <si>
    <t>Karunakara Naik</t>
  </si>
  <si>
    <t>Hemanta Kumar Sahu, Kalandi Charan Sahu</t>
  </si>
  <si>
    <t>Kamara Sahu, Kandri Sahu, Hagri Sahu, Debadatta Sahu, Sanjay Sahu, Ajit Sahu, Gun Sahu</t>
  </si>
  <si>
    <t>Akshya Dehury</t>
  </si>
  <si>
    <t>Achyuta Pradhan</t>
  </si>
  <si>
    <t>Dileswar Pradhan, Padmalabh Padhan, Pabitra Padhan, Udia Padhan, Rukmani Padhan, Daitari Padhan, Madhusudan Majhi, Debadhi Majhi</t>
  </si>
  <si>
    <t>Rushi Pradhan, Ekadushia Pradhan, China Pradhan, Vidyadhar Pradhan, Baikuntha Pradhan, Chain Bishwal, Kandhei Sahu</t>
  </si>
  <si>
    <t>Jagat Janani Das</t>
  </si>
  <si>
    <t>GMDC/HDG/0319</t>
  </si>
  <si>
    <t>GMDC/HDG/0318</t>
  </si>
  <si>
    <t>GMDC/HDG/0333</t>
  </si>
  <si>
    <t>GMDC/HDG/0246</t>
  </si>
  <si>
    <t>GMDC/HDG/0353</t>
  </si>
  <si>
    <t>GMDC/HDG/0359</t>
  </si>
  <si>
    <t>GMDC/HDG/0260</t>
  </si>
  <si>
    <t>GMDC/HDG/0356</t>
  </si>
  <si>
    <t>GMDC/HDG/0357</t>
  </si>
  <si>
    <t>GMDC/HDG/0355</t>
  </si>
  <si>
    <t>GMDC/HDG/0212</t>
  </si>
  <si>
    <t>GMDC/HDG/0131</t>
  </si>
  <si>
    <t>GMDC/HDG/0340</t>
  </si>
  <si>
    <t>GMDC/HDG/0017</t>
  </si>
  <si>
    <t>GMDC/CPJ/0058</t>
  </si>
  <si>
    <t>Handigoda</t>
  </si>
  <si>
    <t>1321/3434</t>
  </si>
  <si>
    <t>1260/3441</t>
  </si>
  <si>
    <t>312/2953</t>
  </si>
  <si>
    <t>2226/3529</t>
  </si>
  <si>
    <t>352/3811</t>
  </si>
  <si>
    <t>352/3812</t>
  </si>
  <si>
    <t>1145/3413</t>
  </si>
  <si>
    <t>1145/3422</t>
  </si>
  <si>
    <t>1145/3427</t>
  </si>
  <si>
    <t>253/3485</t>
  </si>
  <si>
    <t>238/3728</t>
  </si>
  <si>
    <t>1132/3432</t>
  </si>
  <si>
    <t>1151/3586</t>
  </si>
  <si>
    <t>1542/3587</t>
  </si>
  <si>
    <t>1632/3590</t>
  </si>
  <si>
    <t>1633/3591</t>
  </si>
  <si>
    <t>1635/3592</t>
  </si>
  <si>
    <t>1659/3594</t>
  </si>
  <si>
    <t>Taila</t>
  </si>
  <si>
    <t>SAJS III</t>
  </si>
  <si>
    <t>SAJS I</t>
  </si>
  <si>
    <t>Bagayat II</t>
  </si>
  <si>
    <t>SAJS II</t>
  </si>
  <si>
    <t>V</t>
  </si>
  <si>
    <t>III</t>
  </si>
  <si>
    <t>II</t>
  </si>
  <si>
    <t>IV</t>
  </si>
  <si>
    <t>24,98,838</t>
  </si>
  <si>
    <t>25,36,416</t>
  </si>
  <si>
    <t>23,03,422</t>
  </si>
  <si>
    <t>7,74,180</t>
  </si>
  <si>
    <t>2,63,280</t>
  </si>
  <si>
    <t>51,15,871</t>
  </si>
  <si>
    <t>chhendipada</t>
  </si>
  <si>
    <t>Bishnu Mahapatra, Kalei Mahapatra, Madhab Mahapatra, Sures Mahapatra, Sushila Mahapatra, Balia Mahapatra, Kishori Mahapatra, Kumpani Mahapatra, Bishwanath Mahapatra, Duhita Mahapatra, Shankar Mahapatra, Angur Mahapatra, Chakra Mahapatra, Fakir Mahapatra, Bhikari Mahapatra, Daitari Mahapatra</t>
  </si>
  <si>
    <t>Pabitra Pradhan</t>
  </si>
  <si>
    <t>Raghunath Pradhan</t>
  </si>
  <si>
    <t>Bishnucharan Mahapatra</t>
  </si>
  <si>
    <t>N/A</t>
  </si>
  <si>
    <t>Antaryami Majhi</t>
  </si>
  <si>
    <t>Srinibas Majhi</t>
  </si>
  <si>
    <t>Sunanda Majhi</t>
  </si>
  <si>
    <t>Fakir Mohan Majhi</t>
  </si>
  <si>
    <t>Tapaswini Majhi</t>
  </si>
  <si>
    <t>Minati Pradhan</t>
  </si>
  <si>
    <t>Hemalata Behera</t>
  </si>
  <si>
    <t>Nrushingh Charan Majhi</t>
  </si>
  <si>
    <t>Hemanta Kumar Sahu</t>
  </si>
  <si>
    <t>Kalandi Charan Sahu</t>
  </si>
  <si>
    <t>Aparna Sahu</t>
  </si>
  <si>
    <t>Satyaprakash Sahu</t>
  </si>
  <si>
    <t>Narmada Sahu</t>
  </si>
  <si>
    <t>Jambubati Sahu</t>
  </si>
  <si>
    <t>Rabindra Kumar Sahoo</t>
  </si>
  <si>
    <t>Pabitra Sahu</t>
  </si>
  <si>
    <t> Kabichandra Sahu</t>
  </si>
  <si>
    <t>Pandab Sahu</t>
  </si>
  <si>
    <t>Jugal Sahu</t>
  </si>
  <si>
    <t>Sumati Sahu</t>
  </si>
  <si>
    <t>Chaitanya Sahu</t>
  </si>
  <si>
    <t>Bijaya Kumar Garnayak</t>
  </si>
  <si>
    <t xml:space="preserve">Ranjulata Roul </t>
  </si>
  <si>
    <t>Sanjay Kumar Gadanayak</t>
  </si>
  <si>
    <t> Debadatta Sahu</t>
  </si>
  <si>
    <t>Sanjay Kumar Sahu</t>
  </si>
  <si>
    <t>Ajit Kumar Sahoo</t>
  </si>
  <si>
    <t>Guna Sahu</t>
  </si>
  <si>
    <t>Akshaya Dehury</t>
  </si>
  <si>
    <t>Achyut Pradhan</t>
  </si>
  <si>
    <t>Dileswar Pradhan</t>
  </si>
  <si>
    <t>Padmanav Pradhan</t>
  </si>
  <si>
    <t>Akadusia Pradhan</t>
  </si>
  <si>
    <t>Hemalata Biswal</t>
  </si>
  <si>
    <t>Gobinda Chandra Pradhan</t>
  </si>
  <si>
    <t>Bhagaban Pradhan</t>
  </si>
  <si>
    <t>Sukanti Pradhan</t>
  </si>
  <si>
    <t>Mamata Pradhan</t>
  </si>
  <si>
    <t>Baidehi Pradhan</t>
  </si>
  <si>
    <t xml:space="preserve">Damayanti Samal </t>
  </si>
  <si>
    <t>Digambar Majhi</t>
  </si>
  <si>
    <t>Jharana Pradhan</t>
  </si>
  <si>
    <t>Kalakar Majhi</t>
  </si>
  <si>
    <t>Krishna Chandra Majhi</t>
  </si>
  <si>
    <t>Paramananda Majhi</t>
  </si>
  <si>
    <t>Rabindra Majhi</t>
  </si>
  <si>
    <t>Runubala Jena</t>
  </si>
  <si>
    <t>Sukanta Sahoo</t>
  </si>
  <si>
    <t>Ranjit Kumar Sahoo</t>
  </si>
  <si>
    <t>Rajata Kumar Sahoo</t>
  </si>
  <si>
    <t>Jagat Mohan Sahoo</t>
  </si>
  <si>
    <t>Srinibasa Pradhan</t>
  </si>
  <si>
    <t>Madan Mohan Pradhan</t>
  </si>
  <si>
    <t>Kamali Pradhan</t>
  </si>
  <si>
    <t>Dinabandhu Sahu</t>
  </si>
  <si>
    <t>Jagabandhu Sahu</t>
  </si>
  <si>
    <t>Gopabandhu Sahu</t>
  </si>
  <si>
    <t>Pramod Kumar Sahu</t>
  </si>
  <si>
    <t>Sebati Sahu</t>
  </si>
  <si>
    <t>Surati Sahu</t>
  </si>
  <si>
    <t>Nidrabati Pradhan</t>
  </si>
  <si>
    <t>Bidyadhar Pradhan</t>
  </si>
  <si>
    <t>Baikuntha Pradhan</t>
  </si>
  <si>
    <t>Chain Biswal</t>
  </si>
  <si>
    <t>Kandhei Sahoo</t>
  </si>
  <si>
    <t>32510839073</t>
  </si>
  <si>
    <t>State Bank of India</t>
  </si>
  <si>
    <t>SBIN0002042</t>
  </si>
  <si>
    <t>4088 8314 0796</t>
  </si>
  <si>
    <t>11598477934</t>
  </si>
  <si>
    <t>11598475392</t>
  </si>
  <si>
    <t>11598469989</t>
  </si>
  <si>
    <t>3369101004822</t>
  </si>
  <si>
    <t>Canara Bank</t>
  </si>
  <si>
    <t>05980110102824</t>
  </si>
  <si>
    <t>UCO Bank</t>
  </si>
  <si>
    <t>11598464142</t>
  </si>
  <si>
    <t>12491000000118</t>
  </si>
  <si>
    <t>Punjab &amp; Sind Bank</t>
  </si>
  <si>
    <t>CNRB0003369</t>
  </si>
  <si>
    <t>UCBA0000598</t>
  </si>
  <si>
    <t>PSIB0021249</t>
  </si>
  <si>
    <t>5407 4048 3901</t>
  </si>
  <si>
    <t>8655 6213 5727</t>
  </si>
  <si>
    <t>6894 4406 9762</t>
  </si>
  <si>
    <t>3768 0353 2581</t>
  </si>
  <si>
    <t>4836 8010 0558</t>
  </si>
  <si>
    <t>5796 9125 4179</t>
  </si>
  <si>
    <t>7941 2078 0736</t>
  </si>
  <si>
    <t>4638 3572 9999</t>
  </si>
  <si>
    <t>1503010101253</t>
  </si>
  <si>
    <t>Punjab National Bank</t>
  </si>
  <si>
    <t>PUNB0150320</t>
  </si>
  <si>
    <t>31196657029</t>
  </si>
  <si>
    <t>9903 9091 8069</t>
  </si>
  <si>
    <t>2015 2168 5660</t>
  </si>
  <si>
    <t>30407763457</t>
  </si>
  <si>
    <t>9084 8961 6711</t>
  </si>
  <si>
    <t>35043256759</t>
  </si>
  <si>
    <t>7771 0786 7152</t>
  </si>
  <si>
    <t>8887 2548 9283</t>
  </si>
  <si>
    <t>44892419494</t>
  </si>
  <si>
    <t>3369101003845</t>
  </si>
  <si>
    <t>6895 1798 9354</t>
  </si>
  <si>
    <t>5312 6916 3762</t>
  </si>
  <si>
    <t>7413 0179 3382</t>
  </si>
  <si>
    <t>6088 6667 3272</t>
  </si>
  <si>
    <t>8785 0734 2870</t>
  </si>
  <si>
    <t>5859 8799 7421</t>
  </si>
  <si>
    <t>8659 4173 3573</t>
  </si>
  <si>
    <t>7216 0524 8674</t>
  </si>
  <si>
    <t>7180 7640 1265</t>
  </si>
  <si>
    <t>3559 3557 4640</t>
  </si>
  <si>
    <t>9042 0656 5893</t>
  </si>
  <si>
    <t>7497 6509 0121</t>
  </si>
  <si>
    <t>4775 0051 7864</t>
  </si>
  <si>
    <t>2941 2784 5608</t>
  </si>
  <si>
    <t>2510 4669 7297</t>
  </si>
  <si>
    <t>8995 3482 9194</t>
  </si>
  <si>
    <t>8551 1790 0203</t>
  </si>
  <si>
    <t>056134001000639</t>
  </si>
  <si>
    <t>Odisha Gramya Bank</t>
  </si>
  <si>
    <t>39644228448</t>
  </si>
  <si>
    <t>34411271359</t>
  </si>
  <si>
    <t>055834001002392</t>
  </si>
  <si>
    <t>537710110000382</t>
  </si>
  <si>
    <t>Bank of India</t>
  </si>
  <si>
    <t>056134001007462</t>
  </si>
  <si>
    <t>Odisha Grameen Bank</t>
  </si>
  <si>
    <t>056134001007523</t>
  </si>
  <si>
    <t>33079237593</t>
  </si>
  <si>
    <t>33503189263</t>
  </si>
  <si>
    <t>3369101004351</t>
  </si>
  <si>
    <t>32099454293</t>
  </si>
  <si>
    <t>31582819345</t>
  </si>
  <si>
    <t>34708736669</t>
  </si>
  <si>
    <t>12491000005633</t>
  </si>
  <si>
    <t>3369101010102</t>
  </si>
  <si>
    <t>11598468169</t>
  </si>
  <si>
    <t>556010110014383</t>
  </si>
  <si>
    <t>11598460078</t>
  </si>
  <si>
    <t>IOBA0ROGB01</t>
  </si>
  <si>
    <t>BKID0005377</t>
  </si>
  <si>
    <t>IOBA0GB0561</t>
  </si>
  <si>
    <t>SBIN0006124</t>
  </si>
  <si>
    <t>SBIN0009639</t>
  </si>
  <si>
    <t>7105 0210 6633</t>
  </si>
  <si>
    <t>11598446768</t>
  </si>
  <si>
    <t>7479 2391 6277</t>
  </si>
  <si>
    <t>43933879003</t>
  </si>
  <si>
    <t>2306 0054 2806</t>
  </si>
  <si>
    <t>9633 3852 0722</t>
  </si>
  <si>
    <t>6102 8869 5941</t>
  </si>
  <si>
    <t>3540 3999 9766</t>
  </si>
  <si>
    <t>5794 3195 7143</t>
  </si>
  <si>
    <t>9991 6562 5840</t>
  </si>
  <si>
    <t>8050 5492 9089</t>
  </si>
  <si>
    <t>3812 5722 3208</t>
  </si>
  <si>
    <t>3222 6667 7487</t>
  </si>
  <si>
    <t>7182 5012 3298</t>
  </si>
  <si>
    <t>6184 4764 6502</t>
  </si>
  <si>
    <t>3811 7548 9055</t>
  </si>
  <si>
    <t>3299 7543 6954</t>
  </si>
  <si>
    <t>5421 7859 1047</t>
  </si>
  <si>
    <t>8522 2673 4900</t>
  </si>
  <si>
    <t>2819 8509 1990</t>
  </si>
  <si>
    <t>4573 9219 3448</t>
  </si>
  <si>
    <t>9640 3374 3026</t>
  </si>
  <si>
    <t>2858 3441 6657</t>
  </si>
  <si>
    <t> 4307 9085 3103</t>
  </si>
  <si>
    <t>2255 4539 9458</t>
  </si>
  <si>
    <t>5778 9205 0008</t>
  </si>
  <si>
    <t>8084 0159 8660</t>
  </si>
  <si>
    <t>8956 5976 8604</t>
  </si>
  <si>
    <t>30985215763</t>
  </si>
  <si>
    <t>11598446906</t>
  </si>
  <si>
    <t>36500062723</t>
  </si>
  <si>
    <t>11393955279</t>
  </si>
  <si>
    <t>11598467121</t>
  </si>
  <si>
    <t>39003602266</t>
  </si>
  <si>
    <t>925010010427878</t>
  </si>
  <si>
    <t xml:space="preserve">Axis Bank </t>
  </si>
  <si>
    <t>924010055448228</t>
  </si>
  <si>
    <t>925010035028676</t>
  </si>
  <si>
    <t>110229220081</t>
  </si>
  <si>
    <t>05980110090664</t>
  </si>
  <si>
    <t>925010010425678</t>
  </si>
  <si>
    <t>34593604708</t>
  </si>
  <si>
    <t>925010010381879</t>
  </si>
  <si>
    <t>32438405946</t>
  </si>
  <si>
    <t>924010055449054</t>
  </si>
  <si>
    <t>31441124424</t>
  </si>
  <si>
    <t>055734001004131</t>
  </si>
  <si>
    <t>093401000003852</t>
  </si>
  <si>
    <t>Indian Overseas Bank</t>
  </si>
  <si>
    <t>093401000003179</t>
  </si>
  <si>
    <t>093401000013990</t>
  </si>
  <si>
    <t>37255361167</t>
  </si>
  <si>
    <t>UTIB0004501</t>
  </si>
  <si>
    <t>IOBA0GB0557</t>
  </si>
  <si>
    <t>IOBA0000934</t>
  </si>
  <si>
    <t>SBIN0017952</t>
  </si>
  <si>
    <t>9778 3682 8671</t>
  </si>
  <si>
    <t>5545 8831 0689</t>
  </si>
  <si>
    <t>9112 2778 3961</t>
  </si>
  <si>
    <t>5524 0354 0090</t>
  </si>
  <si>
    <t>9441 0035 4835</t>
  </si>
  <si>
    <t>2576 7692 9504</t>
  </si>
  <si>
    <t>7716 0587 4353</t>
  </si>
  <si>
    <t>4602 8565 1906</t>
  </si>
  <si>
    <t>2117 0181 6248</t>
  </si>
  <si>
    <t>2067 0461 3025</t>
  </si>
  <si>
    <t>8908 4339 5125</t>
  </si>
  <si>
    <t>3264 7466 2823</t>
  </si>
  <si>
    <t>7688 3069 9929</t>
  </si>
  <si>
    <t>5500 4339 8518</t>
  </si>
  <si>
    <t>11598450015</t>
  </si>
  <si>
    <t>3369101004383</t>
  </si>
  <si>
    <t>36964448950</t>
  </si>
  <si>
    <t>30501506424</t>
  </si>
  <si>
    <t>096501000009439</t>
  </si>
  <si>
    <t>3369101000127</t>
  </si>
  <si>
    <t>43275462746</t>
  </si>
  <si>
    <t>35235944760</t>
  </si>
  <si>
    <t xml:space="preserve">34899762848 </t>
  </si>
  <si>
    <t>36487104475</t>
  </si>
  <si>
    <t>336910100588</t>
  </si>
  <si>
    <t>50100836351472</t>
  </si>
  <si>
    <t>HDFC Bank</t>
  </si>
  <si>
    <t>50100836351446</t>
  </si>
  <si>
    <t>50100836351512</t>
  </si>
  <si>
    <t>IOBA0000965</t>
  </si>
  <si>
    <t>HDFC0009840</t>
  </si>
  <si>
    <t>8993 4467 7291</t>
  </si>
  <si>
    <t>34024330111</t>
  </si>
  <si>
    <t>SBIN0000007</t>
  </si>
  <si>
    <t>chhendipada jungle</t>
  </si>
  <si>
    <t>Balipata</t>
  </si>
  <si>
    <t>Chhendipada</t>
  </si>
  <si>
    <t>59036</t>
  </si>
  <si>
    <t>FXOPM9594R</t>
  </si>
  <si>
    <t>CENPM1928N</t>
  </si>
  <si>
    <t>BCKPM7627L</t>
  </si>
  <si>
    <t>BVVPM5133M</t>
  </si>
  <si>
    <t>ETUPM1832B</t>
  </si>
  <si>
    <t>Chasa</t>
  </si>
  <si>
    <t>married</t>
  </si>
  <si>
    <t>house wife</t>
  </si>
  <si>
    <t>contracter</t>
  </si>
  <si>
    <t>matric</t>
  </si>
  <si>
    <t>no</t>
  </si>
  <si>
    <t>E-LHC/2024/226926</t>
  </si>
  <si>
    <t>At- Jamunali, Po- Tentuloi, Ps- Chhendipada, Angul-759124</t>
  </si>
  <si>
    <t>At-Handigoda, Po- Tentuloi, PS-Chhendipada, Dist.- Angul, Pin- 759124</t>
  </si>
  <si>
    <t>Dubanali, Po- Balipatta, Ps- Jarapada, Angul-759124</t>
  </si>
  <si>
    <t>At/Po- Chhendipada Jungle, Ps- Chhendipada, Dist.- Angul- 759124</t>
  </si>
  <si>
    <t xml:space="preserve"> CJAPM7002H</t>
  </si>
  <si>
    <t xml:space="preserve">Gentu Majhi </t>
  </si>
  <si>
    <t>ESMPS3282J</t>
  </si>
  <si>
    <t>EAUPS7840N</t>
  </si>
  <si>
    <t> Chasa</t>
  </si>
  <si>
    <t>job holder</t>
  </si>
  <si>
    <t>field worker</t>
  </si>
  <si>
    <t>At- Handigoda, Po- Tentuloi, Ps- Chhendipada, Angul- 759124</t>
  </si>
  <si>
    <t>PAF</t>
  </si>
  <si>
    <t xml:space="preserve">Handigoda, Po- Tentuloi, Ps-Chhendipada, Dist.- Angul, Pin- 759124 </t>
  </si>
  <si>
    <t>Land acquisition</t>
  </si>
  <si>
    <t>active</t>
  </si>
  <si>
    <t>yes</t>
  </si>
  <si>
    <t>DARPG/E/2026/0001234</t>
  </si>
  <si>
    <t>land acquisition</t>
  </si>
  <si>
    <t>divorcee</t>
  </si>
  <si>
    <t>intermidiate</t>
  </si>
  <si>
    <t>workers</t>
  </si>
  <si>
    <t>under matric</t>
  </si>
  <si>
    <t>PDF</t>
  </si>
  <si>
    <t>name mismatch</t>
  </si>
  <si>
    <t>court action &amp; orders</t>
  </si>
  <si>
    <t>e-LHC/37 of 2015</t>
  </si>
  <si>
    <t>partition suit</t>
  </si>
  <si>
    <t>pending</t>
  </si>
  <si>
    <t>legal action</t>
  </si>
  <si>
    <t>legal</t>
  </si>
  <si>
    <t>forward to court</t>
  </si>
  <si>
    <t>parental address recognition</t>
  </si>
  <si>
    <t>name mismatch in khata</t>
  </si>
  <si>
    <t>E-LHC/2023/216048</t>
  </si>
  <si>
    <t>suit for possession</t>
  </si>
  <si>
    <t>evction of illegal occupants</t>
  </si>
  <si>
    <t>immediate vesting</t>
  </si>
  <si>
    <t>critical public purpose</t>
  </si>
  <si>
    <t>judicial review</t>
  </si>
  <si>
    <t>building office</t>
  </si>
  <si>
    <t>mining Area</t>
  </si>
  <si>
    <t>road construction</t>
  </si>
  <si>
    <t>livelihood loss</t>
  </si>
  <si>
    <t>compensation lower than market value</t>
  </si>
  <si>
    <t>disputes between owner and cultivator</t>
  </si>
  <si>
    <t>illegal possession</t>
  </si>
  <si>
    <t xml:space="preserve">for the necessity of project land is being more </t>
  </si>
  <si>
    <t>demand of higher compensation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</si>
</sst>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5" formatCode="&quot;₹&quot;\ #,##0;&quot;₹&quot;\ \-#,##0"/>
    <numFmt numFmtId="43" formatCode="_ * #,##0.00_ ;_ * \-#,##0.00_ ;_ * &quot;-&quot;??_ ;_ @_ "/>
    <numFmt numFmtId="164" formatCode="0.0000"/>
    <numFmt numFmtId="165" formatCode="0.00;[Red]0.00"/>
    <numFmt numFmtId="167" formatCode="0_ ;\-0\ "/>
  </numFmts>
  <fonts count="8" x14ac:knownFonts="1">
    <font>
      <sz val="11"/>
      <color theme="1"/>
      <name val="Calibri"/>
      <family val="2"/>
      <scheme val="minor"/>
    </font>
    <font>
      <b/>
      <sz val="11"/>
      <color theme="1"/>
      <name val="Calibri"/>
      <family val="2"/>
      <scheme val="minor"/>
    </font>
    <font>
      <b/>
      <sz val="11"/>
      <name val="Calibri"/>
      <family val="2"/>
      <scheme val="minor"/>
    </font>
    <font>
      <sz val="8"/>
      <name val="Calibri"/>
      <family val="2"/>
      <scheme val="minor"/>
    </font>
    <font>
      <sz val="11"/>
      <color theme="1"/>
      <name val="Calibri"/>
      <family val="2"/>
      <scheme val="minor"/>
    </font>
    <font>
      <sz val="11"/>
      <name val="Calibri"/>
      <family val="2"/>
      <scheme val="minor"/>
    </font>
    <font>
      <sz val="11"/>
      <color rgb="FF000000"/>
      <name val="Calibri"/>
      <family val="2"/>
      <scheme val="minor"/>
    </font>
    <font>
      <sz val="11"/>
      <color rgb="FF0A0A0A"/>
      <name val="Calibri"/>
      <family val="2"/>
    </font>
  </fonts>
  <fills count="5">
    <fill>
      <patternFill patternType="none"/>
    </fill>
    <fill>
      <patternFill patternType="gray125"/>
    </fill>
    <fill>
      <patternFill patternType="solid">
        <fgColor theme="0"/>
        <bgColor indexed="64"/>
      </patternFill>
    </fill>
    <fill>
      <patternFill patternType="solid">
        <fgColor rgb="FF7030A0"/>
        <bgColor indexed="64"/>
      </patternFill>
    </fill>
    <fill>
      <patternFill patternType="solid">
        <fgColor theme="5" tint="0.59999389629810485"/>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style="thin">
        <color indexed="64"/>
      </bottom>
      <diagonal/>
    </border>
  </borders>
  <cellStyleXfs count="3">
    <xf numFmtId="0" fontId="0" fillId="0" borderId="0"/>
    <xf numFmtId="0" fontId="4" fillId="0" borderId="0"/>
    <xf numFmtId="43" fontId="4" fillId="0" borderId="0" applyFont="0" applyFill="0" applyBorder="0" applyAlignment="0" applyProtection="0"/>
  </cellStyleXfs>
  <cellXfs count="60">
    <xf numFmtId="0" fontId="0" fillId="0" borderId="0" xfId="0"/>
    <xf numFmtId="0" fontId="2" fillId="0" borderId="1" xfId="0" applyFont="1" applyBorder="1" applyAlignment="1">
      <alignment horizontal="left" vertical="center" wrapText="1"/>
    </xf>
    <xf numFmtId="0" fontId="5" fillId="0" borderId="1" xfId="1" applyFont="1" applyBorder="1" applyAlignment="1">
      <alignment horizontal="left" vertical="center"/>
    </xf>
    <xf numFmtId="0" fontId="1" fillId="0" borderId="1" xfId="0" applyFont="1" applyBorder="1" applyAlignment="1">
      <alignment horizontal="left" vertical="center" wrapText="1"/>
    </xf>
    <xf numFmtId="164" fontId="2" fillId="0" borderId="1" xfId="0" applyNumberFormat="1" applyFont="1" applyBorder="1" applyAlignment="1">
      <alignment horizontal="left" vertical="center" wrapText="1"/>
    </xf>
    <xf numFmtId="49" fontId="1" fillId="0" borderId="1" xfId="0" applyNumberFormat="1" applyFont="1" applyBorder="1" applyAlignment="1">
      <alignment horizontal="left" vertical="center" wrapText="1"/>
    </xf>
    <xf numFmtId="164" fontId="5" fillId="0" borderId="1" xfId="1" applyNumberFormat="1" applyFont="1" applyBorder="1" applyAlignment="1">
      <alignment horizontal="left" vertical="center"/>
    </xf>
    <xf numFmtId="0" fontId="5" fillId="0" borderId="1" xfId="2" applyNumberFormat="1" applyFont="1" applyFill="1" applyBorder="1" applyAlignment="1">
      <alignment horizontal="left" vertical="center"/>
    </xf>
    <xf numFmtId="0" fontId="0" fillId="0" borderId="1" xfId="0" applyBorder="1" applyAlignment="1">
      <alignment horizontal="left"/>
    </xf>
    <xf numFmtId="0" fontId="0" fillId="0" borderId="2" xfId="0" applyBorder="1" applyAlignment="1">
      <alignment horizontal="left" vertical="center"/>
    </xf>
    <xf numFmtId="0" fontId="0" fillId="0" borderId="2" xfId="0" applyBorder="1" applyAlignment="1">
      <alignment horizontal="left" vertical="center" wrapText="1"/>
    </xf>
    <xf numFmtId="0" fontId="0" fillId="0" borderId="1" xfId="0" applyBorder="1" applyAlignment="1">
      <alignment horizontal="left" vertical="center"/>
    </xf>
    <xf numFmtId="0" fontId="6" fillId="0" borderId="1" xfId="0" applyFont="1" applyBorder="1" applyAlignment="1">
      <alignment horizontal="left" vertical="center"/>
    </xf>
    <xf numFmtId="0" fontId="5" fillId="0" borderId="1" xfId="0" applyFont="1" applyBorder="1" applyAlignment="1">
      <alignment horizontal="left" vertical="center"/>
    </xf>
    <xf numFmtId="164" fontId="0" fillId="2" borderId="1" xfId="0" applyNumberFormat="1" applyFill="1" applyBorder="1" applyAlignment="1">
      <alignment horizontal="left" vertical="center"/>
    </xf>
    <xf numFmtId="164" fontId="0" fillId="0" borderId="1" xfId="0" applyNumberFormat="1" applyBorder="1" applyAlignment="1">
      <alignment horizontal="left" vertical="center"/>
    </xf>
    <xf numFmtId="49" fontId="5" fillId="0" borderId="1" xfId="2" applyNumberFormat="1" applyFont="1" applyFill="1" applyBorder="1" applyAlignment="1">
      <alignment horizontal="left" vertical="center"/>
    </xf>
    <xf numFmtId="5" fontId="0" fillId="2" borderId="1" xfId="0" applyNumberFormat="1" applyFill="1" applyBorder="1" applyAlignment="1">
      <alignment horizontal="left" vertical="center"/>
    </xf>
    <xf numFmtId="49" fontId="0" fillId="0" borderId="2" xfId="0" applyNumberFormat="1" applyBorder="1" applyAlignment="1">
      <alignment horizontal="left"/>
    </xf>
    <xf numFmtId="0" fontId="0" fillId="0" borderId="2" xfId="0" applyBorder="1" applyAlignment="1">
      <alignment horizontal="left"/>
    </xf>
    <xf numFmtId="0" fontId="0" fillId="0" borderId="3" xfId="0" applyBorder="1" applyAlignment="1">
      <alignment horizontal="left" vertical="center"/>
    </xf>
    <xf numFmtId="49" fontId="0" fillId="0" borderId="3" xfId="0" applyNumberFormat="1" applyBorder="1" applyAlignment="1">
      <alignment horizontal="left"/>
    </xf>
    <xf numFmtId="0" fontId="0" fillId="0" borderId="3" xfId="0" applyBorder="1" applyAlignment="1">
      <alignment horizontal="left"/>
    </xf>
    <xf numFmtId="0" fontId="0" fillId="0" borderId="1" xfId="0" applyBorder="1" applyAlignment="1">
      <alignment horizontal="left" vertical="center" wrapText="1"/>
    </xf>
    <xf numFmtId="49" fontId="0" fillId="0" borderId="1" xfId="0" applyNumberFormat="1" applyBorder="1" applyAlignment="1">
      <alignment horizontal="left"/>
    </xf>
    <xf numFmtId="0" fontId="0" fillId="0" borderId="4" xfId="0" applyBorder="1" applyAlignment="1">
      <alignment horizontal="left"/>
    </xf>
    <xf numFmtId="49" fontId="0" fillId="0" borderId="4" xfId="0" applyNumberFormat="1" applyBorder="1" applyAlignment="1">
      <alignment horizontal="left"/>
    </xf>
    <xf numFmtId="0" fontId="0" fillId="3" borderId="1" xfId="0" applyFill="1" applyBorder="1" applyAlignment="1">
      <alignment horizontal="left"/>
    </xf>
    <xf numFmtId="49" fontId="0" fillId="3" borderId="1" xfId="0" applyNumberFormat="1" applyFill="1" applyBorder="1" applyAlignment="1">
      <alignment horizontal="left"/>
    </xf>
    <xf numFmtId="0" fontId="0" fillId="0" borderId="1" xfId="0" applyBorder="1" applyAlignment="1">
      <alignment horizontal="left" wrapText="1"/>
    </xf>
    <xf numFmtId="164" fontId="5" fillId="0" borderId="2" xfId="1" applyNumberFormat="1" applyFont="1" applyBorder="1" applyAlignment="1">
      <alignment horizontal="left" vertical="center" wrapText="1"/>
    </xf>
    <xf numFmtId="164" fontId="0" fillId="4" borderId="1" xfId="0" applyNumberFormat="1" applyFill="1" applyBorder="1" applyAlignment="1">
      <alignment horizontal="left" vertical="center"/>
    </xf>
    <xf numFmtId="164" fontId="0" fillId="0" borderId="1" xfId="0" applyNumberFormat="1" applyBorder="1" applyAlignment="1">
      <alignment horizontal="left" vertical="top"/>
    </xf>
    <xf numFmtId="14" fontId="0" fillId="0" borderId="2" xfId="0" applyNumberFormat="1" applyBorder="1" applyAlignment="1">
      <alignment horizontal="left" vertical="center"/>
    </xf>
    <xf numFmtId="2" fontId="5" fillId="0" borderId="1" xfId="2" applyNumberFormat="1" applyFont="1" applyFill="1" applyBorder="1" applyAlignment="1">
      <alignment horizontal="left" vertical="center"/>
    </xf>
    <xf numFmtId="1" fontId="5" fillId="0" borderId="1" xfId="2" applyNumberFormat="1" applyFont="1" applyFill="1" applyBorder="1" applyAlignment="1">
      <alignment horizontal="left" vertical="center"/>
    </xf>
    <xf numFmtId="165" fontId="5" fillId="0" borderId="1" xfId="2" applyNumberFormat="1" applyFont="1" applyFill="1" applyBorder="1" applyAlignment="1">
      <alignment horizontal="left" vertical="center"/>
    </xf>
    <xf numFmtId="2" fontId="0" fillId="0" borderId="1" xfId="0" applyNumberFormat="1" applyBorder="1" applyAlignment="1">
      <alignment horizontal="left"/>
    </xf>
    <xf numFmtId="2" fontId="0" fillId="0" borderId="1" xfId="0" applyNumberFormat="1" applyBorder="1" applyAlignment="1">
      <alignment horizontal="left" vertical="center" wrapText="1"/>
    </xf>
    <xf numFmtId="0" fontId="0" fillId="0" borderId="1" xfId="0" applyBorder="1"/>
    <xf numFmtId="0" fontId="0" fillId="0" borderId="1" xfId="0" applyBorder="1" applyAlignment="1">
      <alignment horizontal="center" vertical="center"/>
    </xf>
    <xf numFmtId="0" fontId="0" fillId="0" borderId="0" xfId="0" applyAlignment="1">
      <alignment wrapText="1"/>
    </xf>
    <xf numFmtId="0" fontId="0" fillId="0" borderId="5" xfId="0" applyBorder="1" applyAlignment="1">
      <alignment horizontal="left"/>
    </xf>
    <xf numFmtId="0" fontId="6" fillId="0" borderId="0" xfId="0" applyFont="1"/>
    <xf numFmtId="0" fontId="6" fillId="0" borderId="0" xfId="0" applyFont="1" applyAlignment="1">
      <alignment horizontal="center" vertical="center"/>
    </xf>
    <xf numFmtId="0" fontId="6" fillId="0" borderId="0" xfId="0" applyFont="1" applyAlignment="1">
      <alignment wrapText="1"/>
    </xf>
    <xf numFmtId="14" fontId="0" fillId="0" borderId="1" xfId="0" applyNumberFormat="1" applyBorder="1"/>
    <xf numFmtId="14" fontId="0" fillId="0" borderId="1" xfId="0" applyNumberFormat="1" applyBorder="1" applyAlignment="1">
      <alignment horizontal="left"/>
    </xf>
    <xf numFmtId="164" fontId="0" fillId="0" borderId="1" xfId="0" applyNumberFormat="1" applyBorder="1" applyAlignment="1">
      <alignment horizontal="center" vertical="center"/>
    </xf>
    <xf numFmtId="5" fontId="0" fillId="2" borderId="1" xfId="0" applyNumberFormat="1" applyFill="1" applyBorder="1" applyAlignment="1">
      <alignment horizontal="left" vertical="center" wrapText="1"/>
    </xf>
    <xf numFmtId="164" fontId="0" fillId="2" borderId="1" xfId="0" applyNumberFormat="1" applyFill="1" applyBorder="1" applyAlignment="1">
      <alignment horizontal="left" vertical="center" wrapText="1"/>
    </xf>
    <xf numFmtId="0" fontId="0" fillId="0" borderId="1" xfId="0" applyBorder="1" applyAlignment="1">
      <alignment wrapText="1"/>
    </xf>
    <xf numFmtId="0" fontId="0" fillId="0" borderId="1" xfId="0" applyBorder="1" applyAlignment="1">
      <alignment vertical="center" wrapText="1"/>
    </xf>
    <xf numFmtId="0" fontId="0" fillId="0" borderId="0" xfId="0" applyAlignment="1">
      <alignment vertical="center" wrapText="1"/>
    </xf>
    <xf numFmtId="0" fontId="0" fillId="0" borderId="1" xfId="0" applyBorder="1" applyAlignment="1">
      <alignment horizontal="center" vertical="center" wrapText="1"/>
    </xf>
    <xf numFmtId="2" fontId="0" fillId="2" borderId="1" xfId="0" applyNumberFormat="1" applyFill="1" applyBorder="1" applyAlignment="1">
      <alignment horizontal="left" vertical="center"/>
    </xf>
    <xf numFmtId="167" fontId="0" fillId="2" borderId="1" xfId="0" applyNumberFormat="1" applyFill="1" applyBorder="1" applyAlignment="1">
      <alignment horizontal="left" vertical="center" wrapText="1"/>
    </xf>
    <xf numFmtId="0" fontId="7" fillId="0" borderId="1" xfId="0" applyFont="1" applyBorder="1" applyAlignment="1">
      <alignment vertical="center" wrapText="1"/>
    </xf>
    <xf numFmtId="14" fontId="0" fillId="0" borderId="1" xfId="0" applyNumberFormat="1" applyBorder="1" applyAlignment="1">
      <alignment horizontal="left" vertical="center"/>
    </xf>
    <xf numFmtId="0" fontId="0" fillId="0" borderId="1" xfId="0" applyBorder="1" applyAlignment="1">
      <alignment vertical="center"/>
    </xf>
  </cellXfs>
  <cellStyles count="3">
    <cellStyle name="Comma" xfId="2" builtinId="3"/>
    <cellStyle name="Normal" xfId="0" builtinId="0"/>
    <cellStyle name="Normal 2" xfId="1" xr:uid="{399DA8E6-188A-41A9-919F-B454E6ACCD63}"/>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O100"/>
  <sheetViews>
    <sheetView tabSelected="1" topLeftCell="A4" zoomScaleNormal="100" workbookViewId="0">
      <selection activeCell="D7" sqref="D7"/>
    </sheetView>
  </sheetViews>
  <sheetFormatPr defaultColWidth="9.140625" defaultRowHeight="15" x14ac:dyDescent="0.25"/>
  <cols>
    <col min="1" max="1" width="9.140625" style="8"/>
    <col min="2" max="2" width="15.5703125" style="8" customWidth="1"/>
    <col min="3" max="3" width="12.5703125" style="8" customWidth="1"/>
    <col min="4" max="4" width="31.5703125" style="8" customWidth="1"/>
    <col min="5" max="5" width="25.85546875" style="8" customWidth="1"/>
    <col min="6" max="6" width="29.42578125" style="8" customWidth="1"/>
    <col min="7" max="7" width="9.140625" style="8"/>
    <col min="8" max="8" width="20.140625" style="8" customWidth="1"/>
    <col min="9" max="10" width="17.5703125" style="8" customWidth="1"/>
    <col min="11" max="11" width="15.7109375" style="8" customWidth="1"/>
    <col min="12" max="12" width="12" style="8" customWidth="1"/>
    <col min="13" max="13" width="17.28515625" style="8" customWidth="1"/>
    <col min="14" max="14" width="12.42578125" style="8" customWidth="1"/>
    <col min="15" max="18" width="9.140625" style="8"/>
    <col min="19" max="19" width="13.28515625" style="8" customWidth="1"/>
    <col min="20" max="20" width="9.140625" style="8"/>
    <col min="21" max="21" width="12.28515625" style="8" customWidth="1"/>
    <col min="22" max="22" width="13.7109375" style="8" customWidth="1"/>
    <col min="23" max="23" width="12.28515625" style="8" customWidth="1"/>
    <col min="24" max="24" width="16" style="8" customWidth="1"/>
    <col min="25" max="25" width="12.42578125" style="8" customWidth="1"/>
    <col min="26" max="26" width="9.140625" style="8"/>
    <col min="27" max="27" width="13.42578125" style="8" customWidth="1"/>
    <col min="28" max="28" width="9.140625" style="8"/>
    <col min="29" max="29" width="9.5703125" style="8" bestFit="1" customWidth="1"/>
    <col min="30" max="30" width="12" style="8" customWidth="1"/>
    <col min="31" max="31" width="12.7109375" style="8" customWidth="1"/>
    <col min="32" max="32" width="13" style="8" customWidth="1"/>
    <col min="33" max="33" width="17.5703125" style="8" customWidth="1"/>
    <col min="34" max="34" width="10.28515625" style="8" bestFit="1" customWidth="1"/>
    <col min="35" max="35" width="13" style="8" customWidth="1"/>
    <col min="36" max="36" width="15.85546875" style="8" customWidth="1"/>
    <col min="37" max="37" width="9.140625" style="8"/>
    <col min="38" max="38" width="15.7109375" style="8" customWidth="1"/>
    <col min="39" max="39" width="18.85546875" style="8" customWidth="1"/>
    <col min="40" max="40" width="12.7109375" style="8" customWidth="1"/>
    <col min="41" max="41" width="17.85546875" style="8" customWidth="1"/>
    <col min="42" max="42" width="20" style="8" customWidth="1"/>
    <col min="43" max="43" width="9.140625" style="8"/>
    <col min="44" max="44" width="14.140625" style="8" customWidth="1"/>
    <col min="45" max="45" width="10.7109375" style="8" customWidth="1"/>
    <col min="46" max="46" width="16.140625" style="8" customWidth="1"/>
    <col min="47" max="47" width="14.140625" style="8" customWidth="1"/>
    <col min="48" max="49" width="9.140625" style="8"/>
    <col min="50" max="50" width="22.28515625" style="8" customWidth="1"/>
    <col min="51" max="58" width="9.140625" style="8"/>
    <col min="59" max="59" width="19.7109375" style="8" customWidth="1"/>
    <col min="60" max="60" width="9.140625" style="8"/>
    <col min="61" max="61" width="10.42578125" style="8" bestFit="1" customWidth="1"/>
    <col min="62" max="62" width="21.28515625" style="8" customWidth="1"/>
    <col min="63" max="63" width="16" style="8" customWidth="1"/>
    <col min="64" max="64" width="27" style="8" customWidth="1"/>
    <col min="65" max="65" width="11.28515625" style="8" bestFit="1" customWidth="1"/>
    <col min="66" max="69" width="9.140625" style="8"/>
    <col min="70" max="75" width="11.28515625" style="8" bestFit="1" customWidth="1"/>
    <col min="76" max="79" width="9.140625" style="8"/>
    <col min="80" max="80" width="10.42578125" style="8" bestFit="1" customWidth="1"/>
    <col min="81" max="81" width="16" style="8" customWidth="1"/>
    <col min="82" max="82" width="9.140625" style="8"/>
    <col min="83" max="83" width="19.85546875" style="8" customWidth="1"/>
    <col min="84" max="84" width="9.140625" style="8"/>
    <col min="85" max="85" width="10.42578125" style="8" bestFit="1" customWidth="1"/>
    <col min="86" max="16384" width="9.140625" style="8"/>
  </cols>
  <sheetData>
    <row r="1" spans="1:93" ht="82.5" customHeight="1" x14ac:dyDescent="0.25">
      <c r="A1" s="1" t="s">
        <v>0</v>
      </c>
      <c r="B1" s="1" t="s">
        <v>1</v>
      </c>
      <c r="C1" s="1" t="s">
        <v>2</v>
      </c>
      <c r="D1" s="1" t="s">
        <v>3</v>
      </c>
      <c r="E1" s="1" t="s">
        <v>4</v>
      </c>
      <c r="F1" s="3" t="s">
        <v>5</v>
      </c>
      <c r="G1" s="1" t="s">
        <v>6</v>
      </c>
      <c r="H1" s="1" t="s">
        <v>7</v>
      </c>
      <c r="I1" s="1" t="s">
        <v>8</v>
      </c>
      <c r="J1" s="1" t="s">
        <v>9</v>
      </c>
      <c r="K1" s="1" t="s">
        <v>10</v>
      </c>
      <c r="L1" s="1" t="s">
        <v>11</v>
      </c>
      <c r="M1" s="1" t="s">
        <v>12</v>
      </c>
      <c r="N1" s="1" t="s">
        <v>13</v>
      </c>
      <c r="O1" s="1" t="s">
        <v>14</v>
      </c>
      <c r="P1" s="1" t="s">
        <v>15</v>
      </c>
      <c r="Q1" s="4" t="s">
        <v>16</v>
      </c>
      <c r="R1" s="4" t="s">
        <v>17</v>
      </c>
      <c r="S1" s="4" t="s">
        <v>18</v>
      </c>
      <c r="T1" s="4" t="s">
        <v>19</v>
      </c>
      <c r="U1" s="1" t="s">
        <v>20</v>
      </c>
      <c r="V1" s="1" t="s">
        <v>21</v>
      </c>
      <c r="W1" s="1" t="s">
        <v>22</v>
      </c>
      <c r="X1" s="1" t="s">
        <v>23</v>
      </c>
      <c r="Y1" s="1" t="s">
        <v>24</v>
      </c>
      <c r="Z1" s="1" t="s">
        <v>25</v>
      </c>
      <c r="AA1" s="1" t="s">
        <v>26</v>
      </c>
      <c r="AB1" s="1" t="s">
        <v>27</v>
      </c>
      <c r="AC1" s="1" t="s">
        <v>28</v>
      </c>
      <c r="AD1" s="1" t="s">
        <v>29</v>
      </c>
      <c r="AE1" s="1" t="s">
        <v>30</v>
      </c>
      <c r="AF1" s="1" t="s">
        <v>31</v>
      </c>
      <c r="AG1" s="1" t="s">
        <v>32</v>
      </c>
      <c r="AH1" s="1" t="s">
        <v>33</v>
      </c>
      <c r="AI1" s="1" t="s">
        <v>34</v>
      </c>
      <c r="AJ1" s="1" t="s">
        <v>35</v>
      </c>
      <c r="AK1" s="1" t="s">
        <v>36</v>
      </c>
      <c r="AL1" s="5" t="s">
        <v>37</v>
      </c>
      <c r="AM1" s="5" t="s">
        <v>38</v>
      </c>
      <c r="AN1" s="3" t="s">
        <v>39</v>
      </c>
      <c r="AO1" s="3" t="s">
        <v>40</v>
      </c>
      <c r="AP1" s="3" t="s">
        <v>41</v>
      </c>
      <c r="AQ1" s="3" t="s">
        <v>42</v>
      </c>
      <c r="AR1" s="3" t="s">
        <v>43</v>
      </c>
      <c r="AS1" s="3" t="s">
        <v>44</v>
      </c>
      <c r="AT1" s="3" t="s">
        <v>45</v>
      </c>
      <c r="AU1" s="3" t="s">
        <v>46</v>
      </c>
      <c r="AV1" s="3" t="s">
        <v>47</v>
      </c>
      <c r="AW1" s="3" t="s">
        <v>48</v>
      </c>
      <c r="AX1" s="3" t="s">
        <v>49</v>
      </c>
      <c r="AY1" s="3" t="s">
        <v>50</v>
      </c>
      <c r="AZ1" s="3" t="s">
        <v>51</v>
      </c>
      <c r="BA1" s="3" t="s">
        <v>52</v>
      </c>
      <c r="BB1" s="3" t="s">
        <v>53</v>
      </c>
      <c r="BC1" s="3" t="s">
        <v>54</v>
      </c>
      <c r="BD1" s="3" t="s">
        <v>55</v>
      </c>
      <c r="BE1" s="3" t="s">
        <v>56</v>
      </c>
      <c r="BF1" s="3" t="s">
        <v>57</v>
      </c>
      <c r="BG1" s="3" t="s">
        <v>58</v>
      </c>
      <c r="BH1" s="3" t="s">
        <v>59</v>
      </c>
      <c r="BI1" s="3" t="s">
        <v>60</v>
      </c>
      <c r="BJ1" s="3" t="s">
        <v>61</v>
      </c>
      <c r="BK1" s="3" t="s">
        <v>62</v>
      </c>
      <c r="BL1" s="3" t="s">
        <v>63</v>
      </c>
      <c r="BM1" s="3" t="s">
        <v>64</v>
      </c>
      <c r="BN1" s="3" t="s">
        <v>65</v>
      </c>
      <c r="BO1" s="3" t="s">
        <v>66</v>
      </c>
      <c r="BP1" s="3" t="s">
        <v>67</v>
      </c>
      <c r="BQ1" s="3" t="s">
        <v>68</v>
      </c>
      <c r="BR1" s="3" t="s">
        <v>69</v>
      </c>
      <c r="BS1" s="3" t="s">
        <v>70</v>
      </c>
      <c r="BT1" s="3" t="s">
        <v>71</v>
      </c>
      <c r="BU1" s="3" t="s">
        <v>72</v>
      </c>
      <c r="BV1" s="3" t="s">
        <v>73</v>
      </c>
      <c r="BW1" s="3" t="s">
        <v>74</v>
      </c>
      <c r="BX1" s="3" t="s">
        <v>75</v>
      </c>
      <c r="BY1" s="3" t="s">
        <v>76</v>
      </c>
      <c r="BZ1" s="3" t="s">
        <v>77</v>
      </c>
      <c r="CA1" s="3" t="s">
        <v>78</v>
      </c>
      <c r="CB1" s="3" t="s">
        <v>79</v>
      </c>
      <c r="CC1" s="3" t="s">
        <v>80</v>
      </c>
      <c r="CD1" s="3" t="s">
        <v>81</v>
      </c>
      <c r="CE1" s="3" t="s">
        <v>82</v>
      </c>
      <c r="CF1" s="3" t="s">
        <v>83</v>
      </c>
      <c r="CG1" s="3" t="s">
        <v>84</v>
      </c>
      <c r="CH1" s="3" t="s">
        <v>85</v>
      </c>
      <c r="CI1" s="3" t="s">
        <v>86</v>
      </c>
      <c r="CJ1" s="3" t="s">
        <v>87</v>
      </c>
      <c r="CK1" s="3" t="s">
        <v>88</v>
      </c>
      <c r="CL1" s="3" t="s">
        <v>89</v>
      </c>
      <c r="CM1" s="3" t="s">
        <v>90</v>
      </c>
      <c r="CN1" s="3" t="s">
        <v>91</v>
      </c>
      <c r="CO1" s="3" t="s">
        <v>92</v>
      </c>
    </row>
    <row r="2" spans="1:93" ht="90" x14ac:dyDescent="0.25">
      <c r="A2" s="8">
        <v>1</v>
      </c>
      <c r="B2" s="11" t="s">
        <v>118</v>
      </c>
      <c r="C2" s="33">
        <v>46100</v>
      </c>
      <c r="D2" s="23" t="s">
        <v>105</v>
      </c>
      <c r="E2" s="30" t="s">
        <v>180</v>
      </c>
      <c r="F2" s="52" t="s">
        <v>438</v>
      </c>
      <c r="G2" s="11" t="s">
        <v>448</v>
      </c>
      <c r="H2" s="2" t="s">
        <v>133</v>
      </c>
      <c r="I2" s="11" t="s">
        <v>167</v>
      </c>
      <c r="J2" s="11" t="s">
        <v>410</v>
      </c>
      <c r="K2" s="11">
        <v>76</v>
      </c>
      <c r="L2" s="9" t="s">
        <v>95</v>
      </c>
      <c r="M2" s="12" t="s">
        <v>134</v>
      </c>
      <c r="N2" s="11" t="s">
        <v>93</v>
      </c>
      <c r="O2" s="13" t="s">
        <v>157</v>
      </c>
      <c r="P2" s="50" t="s">
        <v>473</v>
      </c>
      <c r="Q2" s="15">
        <v>0.02</v>
      </c>
      <c r="R2" s="15">
        <v>8.0000000000000002E-3</v>
      </c>
      <c r="S2" s="15">
        <v>0.02</v>
      </c>
      <c r="T2" s="15">
        <v>8.0000000000000002E-3</v>
      </c>
      <c r="U2" s="7">
        <v>2951781</v>
      </c>
      <c r="V2" s="16" t="s">
        <v>412</v>
      </c>
      <c r="W2" s="35">
        <v>118072</v>
      </c>
      <c r="X2" s="40">
        <v>15</v>
      </c>
      <c r="Y2" s="34">
        <v>9944</v>
      </c>
      <c r="Z2" s="40">
        <v>21</v>
      </c>
      <c r="AA2" s="34">
        <v>1318174</v>
      </c>
      <c r="AB2" s="40">
        <v>3</v>
      </c>
      <c r="AC2" s="34">
        <v>0</v>
      </c>
      <c r="AD2" s="34">
        <v>1436246</v>
      </c>
      <c r="AE2" s="34">
        <v>1436246</v>
      </c>
      <c r="AF2" s="34">
        <v>16575</v>
      </c>
      <c r="AG2" s="34">
        <v>2889067</v>
      </c>
      <c r="AH2" s="34">
        <v>2889067</v>
      </c>
      <c r="AI2" s="23" t="s">
        <v>462</v>
      </c>
      <c r="AJ2" s="23" t="s">
        <v>465</v>
      </c>
      <c r="AK2" s="29" t="s">
        <v>469</v>
      </c>
      <c r="AL2" s="18" t="s">
        <v>238</v>
      </c>
      <c r="AM2" s="19" t="s">
        <v>239</v>
      </c>
      <c r="AN2" s="19" t="s">
        <v>240</v>
      </c>
      <c r="AO2" s="19" t="s">
        <v>241</v>
      </c>
      <c r="AP2" s="39" t="s">
        <v>413</v>
      </c>
      <c r="AQ2" s="39">
        <v>36</v>
      </c>
      <c r="AR2" t="s">
        <v>430</v>
      </c>
      <c r="AS2" s="8" t="s">
        <v>419</v>
      </c>
      <c r="AT2" s="8" t="s">
        <v>447</v>
      </c>
      <c r="AU2" s="8" t="s">
        <v>446</v>
      </c>
      <c r="AV2" s="8">
        <v>130000</v>
      </c>
      <c r="AX2" s="8" t="s">
        <v>449</v>
      </c>
      <c r="AY2" s="11">
        <v>1</v>
      </c>
      <c r="AZ2" s="11">
        <v>1</v>
      </c>
      <c r="BA2" s="11">
        <v>1</v>
      </c>
      <c r="BB2" s="11">
        <v>2</v>
      </c>
      <c r="BC2" s="11">
        <v>0</v>
      </c>
      <c r="BD2" s="11">
        <v>0</v>
      </c>
      <c r="BE2" s="11">
        <v>0</v>
      </c>
      <c r="BF2" s="11" t="s">
        <v>423</v>
      </c>
      <c r="BH2" s="41" t="s">
        <v>118</v>
      </c>
      <c r="BI2" s="46">
        <v>46025</v>
      </c>
      <c r="BJ2" s="8" t="s">
        <v>439</v>
      </c>
      <c r="BK2" s="8" t="s">
        <v>440</v>
      </c>
      <c r="BL2" s="8" t="s">
        <v>450</v>
      </c>
      <c r="BM2" s="11" t="s">
        <v>441</v>
      </c>
      <c r="BN2" s="11" t="s">
        <v>423</v>
      </c>
      <c r="BO2" s="11" t="s">
        <v>423</v>
      </c>
      <c r="BP2" s="11" t="s">
        <v>423</v>
      </c>
      <c r="BQ2" s="11" t="s">
        <v>423</v>
      </c>
      <c r="BR2" s="11" t="s">
        <v>423</v>
      </c>
      <c r="BS2" s="11" t="s">
        <v>423</v>
      </c>
      <c r="BT2" s="11" t="s">
        <v>423</v>
      </c>
      <c r="BU2" s="11" t="s">
        <v>423</v>
      </c>
      <c r="BV2" s="11" t="s">
        <v>423</v>
      </c>
      <c r="BW2" s="11" t="s">
        <v>423</v>
      </c>
      <c r="BX2" s="11" t="s">
        <v>423</v>
      </c>
      <c r="BY2" s="11" t="s">
        <v>423</v>
      </c>
      <c r="BZ2" s="11" t="s">
        <v>423</v>
      </c>
      <c r="CA2" s="57" t="s">
        <v>442</v>
      </c>
      <c r="CB2" s="58">
        <v>46145</v>
      </c>
      <c r="CC2" s="11" t="s">
        <v>443</v>
      </c>
      <c r="CD2" s="11" t="s">
        <v>440</v>
      </c>
      <c r="CE2" s="11" t="s">
        <v>456</v>
      </c>
      <c r="CF2" s="11" t="s">
        <v>423</v>
      </c>
    </row>
    <row r="3" spans="1:93" ht="90" x14ac:dyDescent="0.25">
      <c r="A3" s="8">
        <v>2</v>
      </c>
      <c r="B3" s="11" t="s">
        <v>118</v>
      </c>
      <c r="C3" s="33">
        <v>46100</v>
      </c>
      <c r="D3" s="20" t="s">
        <v>105</v>
      </c>
      <c r="E3" s="30" t="s">
        <v>180</v>
      </c>
      <c r="F3" s="52" t="s">
        <v>438</v>
      </c>
      <c r="G3" s="11" t="s">
        <v>448</v>
      </c>
      <c r="H3" s="2" t="s">
        <v>133</v>
      </c>
      <c r="I3" s="11" t="s">
        <v>167</v>
      </c>
      <c r="J3" s="11" t="s">
        <v>410</v>
      </c>
      <c r="K3" s="11">
        <v>76</v>
      </c>
      <c r="L3" s="9" t="s">
        <v>95</v>
      </c>
      <c r="M3" s="12" t="s">
        <v>135</v>
      </c>
      <c r="N3" s="11" t="s">
        <v>93</v>
      </c>
      <c r="O3" s="13" t="s">
        <v>157</v>
      </c>
      <c r="P3" s="50" t="s">
        <v>473</v>
      </c>
      <c r="Q3" s="15">
        <v>4.3999999999999997E-2</v>
      </c>
      <c r="R3" s="15">
        <v>1.7999999999999999E-2</v>
      </c>
      <c r="S3" s="15">
        <v>4.3999999999999997E-2</v>
      </c>
      <c r="T3" s="15">
        <v>1.7999999999999999E-2</v>
      </c>
      <c r="U3" s="7">
        <v>2951781</v>
      </c>
      <c r="V3" s="36">
        <v>129878</v>
      </c>
      <c r="W3" s="35">
        <v>259756</v>
      </c>
      <c r="X3" s="40">
        <v>15</v>
      </c>
      <c r="Y3" s="34">
        <v>9944</v>
      </c>
      <c r="Z3" s="40">
        <v>21</v>
      </c>
      <c r="AA3" s="34">
        <v>184914</v>
      </c>
      <c r="AB3" s="40">
        <v>3</v>
      </c>
      <c r="AC3" s="34">
        <v>0</v>
      </c>
      <c r="AD3" s="34">
        <v>454614</v>
      </c>
      <c r="AE3" s="34">
        <v>454614</v>
      </c>
      <c r="AF3" s="34">
        <v>36465</v>
      </c>
      <c r="AG3" s="34">
        <v>945693</v>
      </c>
      <c r="AH3" s="34">
        <v>945693</v>
      </c>
      <c r="AI3" s="23" t="s">
        <v>462</v>
      </c>
      <c r="AJ3" s="23" t="s">
        <v>465</v>
      </c>
      <c r="AK3" s="29" t="s">
        <v>469</v>
      </c>
      <c r="AL3" s="21"/>
      <c r="AM3" s="22"/>
      <c r="AN3" s="22"/>
      <c r="AO3" s="22"/>
      <c r="AP3" s="39" t="s">
        <v>413</v>
      </c>
      <c r="AQ3" s="39">
        <v>36</v>
      </c>
      <c r="AR3" t="s">
        <v>430</v>
      </c>
      <c r="AS3" s="8" t="s">
        <v>419</v>
      </c>
      <c r="AT3" s="8" t="s">
        <v>447</v>
      </c>
      <c r="AU3" s="8" t="s">
        <v>446</v>
      </c>
      <c r="AV3" s="8">
        <v>130000</v>
      </c>
      <c r="AX3" s="8" t="s">
        <v>449</v>
      </c>
      <c r="AY3" s="11">
        <v>1</v>
      </c>
      <c r="AZ3" s="11">
        <v>1</v>
      </c>
      <c r="BA3" s="11">
        <v>1</v>
      </c>
      <c r="BB3" s="11">
        <v>2</v>
      </c>
      <c r="BC3" s="11">
        <v>0</v>
      </c>
      <c r="BD3" s="11">
        <v>0</v>
      </c>
      <c r="BE3" s="11">
        <v>1</v>
      </c>
      <c r="BF3" s="11" t="s">
        <v>423</v>
      </c>
      <c r="BH3" s="41" t="s">
        <v>118</v>
      </c>
      <c r="BI3" s="46">
        <v>46025</v>
      </c>
      <c r="BJ3" s="8" t="s">
        <v>439</v>
      </c>
      <c r="BK3" s="8" t="s">
        <v>440</v>
      </c>
      <c r="BL3" s="8" t="s">
        <v>450</v>
      </c>
      <c r="BM3" s="11" t="s">
        <v>441</v>
      </c>
      <c r="BN3" s="11" t="s">
        <v>423</v>
      </c>
      <c r="BO3" s="11" t="s">
        <v>423</v>
      </c>
      <c r="BP3" s="11" t="s">
        <v>423</v>
      </c>
      <c r="BQ3" s="11" t="s">
        <v>423</v>
      </c>
      <c r="BR3" s="11" t="s">
        <v>423</v>
      </c>
      <c r="BS3" s="11" t="s">
        <v>423</v>
      </c>
      <c r="BT3" s="11" t="s">
        <v>423</v>
      </c>
      <c r="BU3" s="11" t="s">
        <v>423</v>
      </c>
      <c r="BV3" s="11" t="s">
        <v>423</v>
      </c>
      <c r="BW3" s="11" t="s">
        <v>423</v>
      </c>
      <c r="BX3" s="11" t="s">
        <v>423</v>
      </c>
      <c r="BY3" s="11" t="s">
        <v>423</v>
      </c>
      <c r="BZ3" s="11" t="s">
        <v>423</v>
      </c>
      <c r="CA3" s="57" t="s">
        <v>442</v>
      </c>
      <c r="CB3" s="58">
        <v>46145</v>
      </c>
      <c r="CC3" s="11" t="s">
        <v>443</v>
      </c>
      <c r="CD3" s="11" t="s">
        <v>440</v>
      </c>
      <c r="CE3" s="11" t="s">
        <v>456</v>
      </c>
      <c r="CF3" s="11" t="s">
        <v>423</v>
      </c>
    </row>
    <row r="4" spans="1:93" ht="45" x14ac:dyDescent="0.25">
      <c r="A4" s="8">
        <v>3</v>
      </c>
      <c r="B4" s="11" t="s">
        <v>119</v>
      </c>
      <c r="C4" s="33">
        <v>46100</v>
      </c>
      <c r="D4" s="23" t="s">
        <v>105</v>
      </c>
      <c r="E4" s="8" t="s">
        <v>180</v>
      </c>
      <c r="F4" s="53" t="s">
        <v>438</v>
      </c>
      <c r="G4" s="8" t="s">
        <v>448</v>
      </c>
      <c r="H4" s="2" t="s">
        <v>133</v>
      </c>
      <c r="I4" s="11" t="s">
        <v>167</v>
      </c>
      <c r="J4" s="11" t="s">
        <v>410</v>
      </c>
      <c r="K4" s="11">
        <v>76</v>
      </c>
      <c r="L4" s="11" t="s">
        <v>96</v>
      </c>
      <c r="M4" s="12">
        <v>1319</v>
      </c>
      <c r="N4" s="11" t="s">
        <v>93</v>
      </c>
      <c r="O4" s="13" t="s">
        <v>157</v>
      </c>
      <c r="P4" s="14"/>
      <c r="Q4" s="15">
        <v>3.5000000000000003E-2</v>
      </c>
      <c r="R4" s="15">
        <v>1.4E-2</v>
      </c>
      <c r="S4" s="15">
        <v>3.5000000000000003E-2</v>
      </c>
      <c r="T4" s="15">
        <v>1.4E-2</v>
      </c>
      <c r="U4" s="7">
        <v>2951781</v>
      </c>
      <c r="V4" s="36">
        <v>103312</v>
      </c>
      <c r="W4" s="35">
        <v>206624</v>
      </c>
      <c r="X4" s="40">
        <v>17</v>
      </c>
      <c r="Y4" s="34">
        <v>0</v>
      </c>
      <c r="Z4" s="37"/>
      <c r="AA4" s="34">
        <v>380187</v>
      </c>
      <c r="AB4" s="37">
        <v>8</v>
      </c>
      <c r="AC4" s="34">
        <v>422890</v>
      </c>
      <c r="AD4" s="34">
        <v>1009701</v>
      </c>
      <c r="AE4" s="34">
        <v>1009701</v>
      </c>
      <c r="AF4" s="34">
        <v>29007</v>
      </c>
      <c r="AG4" s="34">
        <v>2048409</v>
      </c>
      <c r="AH4" s="17"/>
      <c r="AK4" s="29" t="s">
        <v>468</v>
      </c>
      <c r="AL4" s="24" t="s">
        <v>238</v>
      </c>
      <c r="AM4" s="8" t="s">
        <v>239</v>
      </c>
      <c r="AN4" s="8" t="s">
        <v>240</v>
      </c>
      <c r="AO4" s="8" t="s">
        <v>241</v>
      </c>
      <c r="AP4" s="39" t="s">
        <v>413</v>
      </c>
      <c r="AR4" t="s">
        <v>430</v>
      </c>
      <c r="AS4" s="8" t="s">
        <v>419</v>
      </c>
      <c r="AT4" s="8" t="s">
        <v>447</v>
      </c>
      <c r="AU4" s="8" t="s">
        <v>446</v>
      </c>
      <c r="AV4" s="8">
        <v>130000</v>
      </c>
      <c r="AX4" s="8" t="s">
        <v>449</v>
      </c>
      <c r="AY4" s="11">
        <v>1</v>
      </c>
      <c r="AZ4" s="11">
        <v>1</v>
      </c>
      <c r="BA4" s="11">
        <v>1</v>
      </c>
      <c r="BB4" s="11">
        <v>2</v>
      </c>
      <c r="BC4" s="11">
        <v>0</v>
      </c>
      <c r="BD4" s="11">
        <v>0</v>
      </c>
      <c r="BE4" s="11">
        <v>1</v>
      </c>
      <c r="BF4" s="11" t="s">
        <v>423</v>
      </c>
      <c r="BH4" s="41" t="s">
        <v>118</v>
      </c>
      <c r="BI4" s="46">
        <v>46025</v>
      </c>
      <c r="BJ4" s="8" t="s">
        <v>439</v>
      </c>
      <c r="BK4" s="8" t="s">
        <v>440</v>
      </c>
      <c r="BL4" s="8" t="s">
        <v>450</v>
      </c>
      <c r="BM4" s="11" t="s">
        <v>441</v>
      </c>
      <c r="BN4" s="11" t="s">
        <v>423</v>
      </c>
      <c r="BO4" s="11" t="s">
        <v>423</v>
      </c>
      <c r="BP4" s="11" t="s">
        <v>423</v>
      </c>
      <c r="BQ4" s="11" t="s">
        <v>423</v>
      </c>
      <c r="BR4" s="11" t="s">
        <v>423</v>
      </c>
      <c r="BS4" s="11" t="s">
        <v>423</v>
      </c>
      <c r="BT4" s="11" t="s">
        <v>423</v>
      </c>
      <c r="BU4" s="11" t="s">
        <v>423</v>
      </c>
      <c r="BV4" s="11" t="s">
        <v>423</v>
      </c>
      <c r="BW4" s="11" t="s">
        <v>423</v>
      </c>
      <c r="BX4" s="11" t="s">
        <v>423</v>
      </c>
      <c r="BY4" s="11" t="s">
        <v>423</v>
      </c>
      <c r="BZ4" s="11" t="s">
        <v>423</v>
      </c>
      <c r="CA4" s="57" t="s">
        <v>442</v>
      </c>
      <c r="CB4" s="58">
        <v>46145</v>
      </c>
      <c r="CC4" s="11" t="s">
        <v>443</v>
      </c>
      <c r="CD4" s="11" t="s">
        <v>440</v>
      </c>
      <c r="CE4" s="11" t="s">
        <v>456</v>
      </c>
      <c r="CF4" s="11" t="s">
        <v>423</v>
      </c>
    </row>
    <row r="5" spans="1:93" ht="105" x14ac:dyDescent="0.25">
      <c r="A5" s="8">
        <v>4</v>
      </c>
      <c r="B5" s="11" t="s">
        <v>120</v>
      </c>
      <c r="C5" s="33">
        <v>46100</v>
      </c>
      <c r="D5" s="23" t="s">
        <v>106</v>
      </c>
      <c r="E5" s="8" t="s">
        <v>173</v>
      </c>
      <c r="H5" s="2" t="s">
        <v>133</v>
      </c>
      <c r="I5" s="11" t="s">
        <v>167</v>
      </c>
      <c r="J5" s="11" t="s">
        <v>410</v>
      </c>
      <c r="K5" s="11">
        <v>76</v>
      </c>
      <c r="L5" s="11">
        <v>172</v>
      </c>
      <c r="M5" s="12" t="s">
        <v>136</v>
      </c>
      <c r="N5" s="11" t="s">
        <v>152</v>
      </c>
      <c r="O5" s="13" t="s">
        <v>158</v>
      </c>
      <c r="P5" s="50" t="s">
        <v>472</v>
      </c>
      <c r="Q5" s="48">
        <v>0.2409</v>
      </c>
      <c r="R5" s="15">
        <v>9.7500000000000003E-2</v>
      </c>
      <c r="S5" s="15">
        <v>0.2409</v>
      </c>
      <c r="T5" s="15">
        <v>9.7500000000000003E-2</v>
      </c>
      <c r="U5" s="34">
        <v>2498838</v>
      </c>
      <c r="V5" s="36">
        <v>601970</v>
      </c>
      <c r="W5" s="35">
        <v>1203940</v>
      </c>
      <c r="Y5" s="34">
        <v>0</v>
      </c>
      <c r="Z5" s="37"/>
      <c r="AA5" s="34">
        <v>0</v>
      </c>
      <c r="AB5" s="37"/>
      <c r="AC5" s="34">
        <v>0</v>
      </c>
      <c r="AD5" s="34">
        <v>1203940</v>
      </c>
      <c r="AE5" s="34">
        <v>1203940</v>
      </c>
      <c r="AF5" s="34">
        <v>169013</v>
      </c>
      <c r="AG5" s="34">
        <v>2576893</v>
      </c>
      <c r="AH5" s="55">
        <v>50000</v>
      </c>
      <c r="AI5" s="54" t="s">
        <v>463</v>
      </c>
      <c r="AJ5" s="11" t="s">
        <v>466</v>
      </c>
      <c r="AK5" s="29"/>
      <c r="AL5" s="24" t="s">
        <v>242</v>
      </c>
      <c r="AM5" s="8" t="s">
        <v>239</v>
      </c>
      <c r="AN5" s="8" t="s">
        <v>240</v>
      </c>
      <c r="AO5" s="8" t="s">
        <v>255</v>
      </c>
      <c r="AP5" s="39" t="s">
        <v>414</v>
      </c>
      <c r="AQ5" s="39">
        <v>78</v>
      </c>
      <c r="AR5" s="39" t="s">
        <v>418</v>
      </c>
      <c r="AS5" s="8" t="s">
        <v>419</v>
      </c>
      <c r="AY5" s="11">
        <v>1</v>
      </c>
      <c r="AZ5" s="11">
        <v>1</v>
      </c>
      <c r="BA5" s="11">
        <v>2</v>
      </c>
      <c r="BB5" s="11">
        <v>1</v>
      </c>
      <c r="BC5" s="11">
        <v>0</v>
      </c>
      <c r="BD5" s="11">
        <v>0</v>
      </c>
      <c r="BE5" s="11">
        <v>0</v>
      </c>
      <c r="BF5" s="11" t="s">
        <v>441</v>
      </c>
      <c r="BG5" s="59" t="s">
        <v>424</v>
      </c>
      <c r="BH5" s="10" t="s">
        <v>120</v>
      </c>
      <c r="BI5" s="47">
        <v>46037</v>
      </c>
      <c r="BJ5" s="8" t="s">
        <v>452</v>
      </c>
      <c r="BK5" s="8" t="s">
        <v>453</v>
      </c>
      <c r="BL5" s="8" t="s">
        <v>454</v>
      </c>
      <c r="BM5" s="11" t="s">
        <v>423</v>
      </c>
      <c r="BN5" s="11" t="s">
        <v>441</v>
      </c>
      <c r="BO5" s="11" t="s">
        <v>441</v>
      </c>
      <c r="BP5" s="11" t="s">
        <v>441</v>
      </c>
      <c r="BQ5" s="11" t="s">
        <v>441</v>
      </c>
      <c r="BR5" s="11" t="s">
        <v>441</v>
      </c>
      <c r="BS5" s="11" t="s">
        <v>441</v>
      </c>
      <c r="BT5" s="11" t="s">
        <v>441</v>
      </c>
      <c r="BU5" s="11" t="s">
        <v>441</v>
      </c>
      <c r="BV5" s="11" t="s">
        <v>441</v>
      </c>
      <c r="BW5" s="11" t="s">
        <v>441</v>
      </c>
      <c r="BX5" s="11" t="s">
        <v>441</v>
      </c>
      <c r="BY5" s="11" t="s">
        <v>441</v>
      </c>
      <c r="BZ5" s="11" t="s">
        <v>441</v>
      </c>
      <c r="CA5" s="57" t="s">
        <v>442</v>
      </c>
      <c r="CB5" s="58">
        <v>46145</v>
      </c>
      <c r="CC5" s="11" t="s">
        <v>452</v>
      </c>
      <c r="CD5" s="11" t="s">
        <v>453</v>
      </c>
      <c r="CE5" s="11" t="s">
        <v>455</v>
      </c>
      <c r="CF5" s="11" t="s">
        <v>441</v>
      </c>
      <c r="CG5" s="58">
        <v>46102</v>
      </c>
      <c r="CH5" s="11">
        <v>20000</v>
      </c>
    </row>
    <row r="6" spans="1:93" ht="45" x14ac:dyDescent="0.25">
      <c r="A6" s="8">
        <v>5</v>
      </c>
      <c r="B6" s="11" t="s">
        <v>120</v>
      </c>
      <c r="C6" s="33">
        <v>46100</v>
      </c>
      <c r="D6" s="20" t="s">
        <v>106</v>
      </c>
      <c r="E6" s="8" t="s">
        <v>174</v>
      </c>
      <c r="F6" s="51" t="s">
        <v>426</v>
      </c>
      <c r="H6" s="2" t="s">
        <v>133</v>
      </c>
      <c r="I6" s="11" t="s">
        <v>167</v>
      </c>
      <c r="J6" s="11" t="s">
        <v>410</v>
      </c>
      <c r="K6" s="11">
        <v>76</v>
      </c>
      <c r="L6" s="11">
        <v>172</v>
      </c>
      <c r="M6" s="12"/>
      <c r="N6" s="11" t="s">
        <v>152</v>
      </c>
      <c r="O6" s="13" t="s">
        <v>158</v>
      </c>
      <c r="P6" s="14"/>
      <c r="Q6" s="6"/>
      <c r="R6" s="14"/>
      <c r="S6" s="32">
        <v>0.2409</v>
      </c>
      <c r="T6" s="15">
        <v>9.7500000000000003E-2</v>
      </c>
      <c r="U6" s="34">
        <v>2498838</v>
      </c>
      <c r="V6" s="36">
        <v>601970</v>
      </c>
      <c r="W6" s="35">
        <v>1203940</v>
      </c>
      <c r="Y6" s="34"/>
      <c r="Z6" s="37"/>
      <c r="AA6" s="34"/>
      <c r="AB6" s="37"/>
      <c r="AC6" s="34"/>
      <c r="AD6" s="34"/>
      <c r="AE6" s="34"/>
      <c r="AF6" s="34"/>
      <c r="AG6" s="34"/>
      <c r="AH6" s="55">
        <v>40000</v>
      </c>
      <c r="AL6" s="24" t="s">
        <v>243</v>
      </c>
      <c r="AM6" s="8" t="s">
        <v>239</v>
      </c>
      <c r="AN6" s="8" t="s">
        <v>240</v>
      </c>
      <c r="AO6" s="8" t="s">
        <v>256</v>
      </c>
      <c r="AP6" s="39" t="s">
        <v>415</v>
      </c>
      <c r="AQ6" s="39">
        <v>73</v>
      </c>
      <c r="AR6" s="39" t="s">
        <v>418</v>
      </c>
      <c r="AS6" s="8" t="s">
        <v>419</v>
      </c>
      <c r="AY6" s="11">
        <v>1</v>
      </c>
      <c r="AZ6" s="11">
        <v>1</v>
      </c>
      <c r="BA6" s="11">
        <v>2</v>
      </c>
      <c r="BB6" s="11">
        <v>1</v>
      </c>
      <c r="BC6" s="11">
        <v>0</v>
      </c>
      <c r="BD6" s="11">
        <v>0</v>
      </c>
      <c r="BE6" s="11">
        <v>0</v>
      </c>
      <c r="BF6" s="11" t="s">
        <v>441</v>
      </c>
      <c r="BG6" s="59" t="s">
        <v>424</v>
      </c>
      <c r="BH6" s="10" t="s">
        <v>120</v>
      </c>
      <c r="BI6" s="47">
        <v>46037</v>
      </c>
      <c r="BJ6" s="8" t="s">
        <v>452</v>
      </c>
      <c r="BK6" s="8" t="s">
        <v>453</v>
      </c>
      <c r="BL6" s="8" t="s">
        <v>454</v>
      </c>
      <c r="BM6" s="11" t="s">
        <v>423</v>
      </c>
      <c r="BN6" s="11" t="s">
        <v>441</v>
      </c>
      <c r="BO6" s="11" t="s">
        <v>441</v>
      </c>
      <c r="BP6" s="11" t="s">
        <v>441</v>
      </c>
      <c r="BQ6" s="11" t="s">
        <v>441</v>
      </c>
      <c r="BR6" s="11" t="s">
        <v>441</v>
      </c>
      <c r="BS6" s="11" t="s">
        <v>441</v>
      </c>
      <c r="BT6" s="11" t="s">
        <v>441</v>
      </c>
      <c r="BU6" s="11" t="s">
        <v>441</v>
      </c>
      <c r="BV6" s="11" t="s">
        <v>441</v>
      </c>
      <c r="BW6" s="11" t="s">
        <v>441</v>
      </c>
      <c r="BX6" s="11" t="s">
        <v>441</v>
      </c>
      <c r="BY6" s="11" t="s">
        <v>441</v>
      </c>
      <c r="BZ6" s="11" t="s">
        <v>441</v>
      </c>
      <c r="CA6" s="57" t="s">
        <v>442</v>
      </c>
      <c r="CB6" s="58">
        <v>46145</v>
      </c>
      <c r="CC6" s="11" t="s">
        <v>452</v>
      </c>
      <c r="CD6" s="11" t="s">
        <v>453</v>
      </c>
      <c r="CE6" s="11" t="s">
        <v>455</v>
      </c>
      <c r="CF6" s="11" t="s">
        <v>441</v>
      </c>
      <c r="CG6" s="58">
        <v>46102</v>
      </c>
      <c r="CH6" s="11">
        <v>20000</v>
      </c>
    </row>
    <row r="7" spans="1:93" ht="45" x14ac:dyDescent="0.25">
      <c r="A7" s="8">
        <v>6</v>
      </c>
      <c r="B7" s="20" t="s">
        <v>120</v>
      </c>
      <c r="C7" s="33">
        <v>46100</v>
      </c>
      <c r="D7" s="20" t="s">
        <v>106</v>
      </c>
      <c r="E7" s="11" t="s">
        <v>175</v>
      </c>
      <c r="F7" s="51" t="s">
        <v>425</v>
      </c>
      <c r="H7" s="2" t="s">
        <v>133</v>
      </c>
      <c r="I7" s="11" t="s">
        <v>167</v>
      </c>
      <c r="J7" s="11" t="s">
        <v>410</v>
      </c>
      <c r="K7" s="11">
        <v>76</v>
      </c>
      <c r="L7" s="11">
        <v>172</v>
      </c>
      <c r="M7" s="12"/>
      <c r="N7" s="11" t="s">
        <v>152</v>
      </c>
      <c r="O7" s="13" t="s">
        <v>158</v>
      </c>
      <c r="P7" s="14"/>
      <c r="Q7" s="6"/>
      <c r="R7" s="14"/>
      <c r="S7" s="32">
        <v>0.2409</v>
      </c>
      <c r="T7" s="15">
        <v>9.7500000000000003E-2</v>
      </c>
      <c r="U7" s="34">
        <v>2498838</v>
      </c>
      <c r="V7" s="36">
        <v>601970</v>
      </c>
      <c r="W7" s="35">
        <v>1203940</v>
      </c>
      <c r="Y7" s="34"/>
      <c r="Z7" s="37"/>
      <c r="AA7" s="34"/>
      <c r="AB7" s="37"/>
      <c r="AC7" s="34"/>
      <c r="AD7" s="34"/>
      <c r="AE7" s="34"/>
      <c r="AF7" s="34"/>
      <c r="AG7" s="34"/>
      <c r="AH7" s="55">
        <v>20000</v>
      </c>
      <c r="AL7" s="24" t="s">
        <v>244</v>
      </c>
      <c r="AM7" s="8" t="s">
        <v>239</v>
      </c>
      <c r="AN7" s="8" t="s">
        <v>240</v>
      </c>
      <c r="AO7" s="8" t="s">
        <v>257</v>
      </c>
      <c r="AP7" s="39" t="s">
        <v>429</v>
      </c>
      <c r="AQ7" s="39">
        <v>55</v>
      </c>
      <c r="AR7" s="39" t="s">
        <v>418</v>
      </c>
      <c r="AS7" s="8" t="s">
        <v>419</v>
      </c>
      <c r="AT7" s="8" t="s">
        <v>422</v>
      </c>
      <c r="AU7" s="8" t="s">
        <v>420</v>
      </c>
      <c r="AX7" s="29" t="s">
        <v>457</v>
      </c>
      <c r="AY7" s="11">
        <v>2</v>
      </c>
      <c r="AZ7" s="11">
        <v>1</v>
      </c>
      <c r="BA7" s="11">
        <v>1</v>
      </c>
      <c r="BB7" s="11">
        <v>1</v>
      </c>
      <c r="BC7" s="11">
        <v>0</v>
      </c>
      <c r="BD7" s="11">
        <v>0</v>
      </c>
      <c r="BE7" s="11">
        <v>0</v>
      </c>
      <c r="BF7" s="11">
        <v>0</v>
      </c>
      <c r="BG7" s="59" t="s">
        <v>424</v>
      </c>
      <c r="BH7" s="10" t="s">
        <v>120</v>
      </c>
      <c r="BI7" s="47">
        <v>46037</v>
      </c>
      <c r="BJ7" s="8" t="s">
        <v>452</v>
      </c>
      <c r="BK7" s="8" t="s">
        <v>453</v>
      </c>
      <c r="BL7" s="8" t="s">
        <v>454</v>
      </c>
      <c r="BM7" s="11" t="s">
        <v>423</v>
      </c>
      <c r="BN7" s="11" t="s">
        <v>441</v>
      </c>
      <c r="BO7" s="11" t="s">
        <v>441</v>
      </c>
      <c r="BP7" s="11" t="s">
        <v>441</v>
      </c>
      <c r="BQ7" s="11" t="s">
        <v>441</v>
      </c>
      <c r="BR7" s="11" t="s">
        <v>441</v>
      </c>
      <c r="BS7" s="11" t="s">
        <v>441</v>
      </c>
      <c r="BT7" s="11" t="s">
        <v>441</v>
      </c>
      <c r="BU7" s="11" t="s">
        <v>441</v>
      </c>
      <c r="BV7" s="11" t="s">
        <v>441</v>
      </c>
      <c r="BW7" s="11" t="s">
        <v>441</v>
      </c>
      <c r="BX7" s="11" t="s">
        <v>441</v>
      </c>
      <c r="BY7" s="11" t="s">
        <v>441</v>
      </c>
      <c r="BZ7" s="11" t="s">
        <v>441</v>
      </c>
      <c r="CA7" s="57" t="s">
        <v>442</v>
      </c>
      <c r="CB7" s="58">
        <v>46145</v>
      </c>
      <c r="CC7" s="11" t="s">
        <v>443</v>
      </c>
      <c r="CD7" s="11" t="s">
        <v>453</v>
      </c>
      <c r="CE7" s="11" t="s">
        <v>455</v>
      </c>
      <c r="CF7" s="11" t="s">
        <v>441</v>
      </c>
      <c r="CG7" s="58">
        <v>46102</v>
      </c>
      <c r="CH7" s="11">
        <v>20000</v>
      </c>
    </row>
    <row r="8" spans="1:93" ht="45" x14ac:dyDescent="0.25">
      <c r="A8" s="8">
        <v>7</v>
      </c>
      <c r="B8" s="20" t="s">
        <v>120</v>
      </c>
      <c r="C8" s="33">
        <v>46100</v>
      </c>
      <c r="D8" s="20" t="s">
        <v>106</v>
      </c>
      <c r="E8" s="8" t="s">
        <v>176</v>
      </c>
      <c r="H8" s="2" t="s">
        <v>133</v>
      </c>
      <c r="I8" s="11" t="s">
        <v>167</v>
      </c>
      <c r="J8" s="11" t="s">
        <v>410</v>
      </c>
      <c r="K8" s="11">
        <v>76</v>
      </c>
      <c r="L8" s="11">
        <v>172</v>
      </c>
      <c r="M8" s="12"/>
      <c r="N8" s="11" t="s">
        <v>152</v>
      </c>
      <c r="O8" s="13" t="s">
        <v>158</v>
      </c>
      <c r="P8" s="14"/>
      <c r="Q8" s="6"/>
      <c r="R8" s="14"/>
      <c r="S8" s="32">
        <v>0.2409</v>
      </c>
      <c r="T8" s="15">
        <v>9.7500000000000003E-2</v>
      </c>
      <c r="U8" s="34">
        <v>2498838</v>
      </c>
      <c r="V8" s="36">
        <v>601970</v>
      </c>
      <c r="W8" s="35">
        <v>1203940</v>
      </c>
      <c r="Y8" s="34"/>
      <c r="Z8" s="37"/>
      <c r="AA8" s="34"/>
      <c r="AB8" s="37"/>
      <c r="AC8" s="34"/>
      <c r="AD8" s="34"/>
      <c r="AE8" s="34"/>
      <c r="AF8" s="34"/>
      <c r="AG8" s="34"/>
      <c r="AH8" s="17"/>
      <c r="AL8" s="24" t="s">
        <v>245</v>
      </c>
      <c r="AM8" s="8" t="s">
        <v>246</v>
      </c>
      <c r="AN8" s="8" t="s">
        <v>252</v>
      </c>
      <c r="AO8" s="8" t="s">
        <v>258</v>
      </c>
      <c r="AP8" s="39" t="s">
        <v>416</v>
      </c>
      <c r="AQ8" s="39">
        <v>34</v>
      </c>
      <c r="AR8" s="39" t="s">
        <v>418</v>
      </c>
      <c r="AS8" s="8" t="s">
        <v>419</v>
      </c>
      <c r="AT8" s="8" t="s">
        <v>422</v>
      </c>
      <c r="AU8" s="8" t="s">
        <v>421</v>
      </c>
      <c r="AX8" s="8" t="s">
        <v>458</v>
      </c>
      <c r="AY8" s="11">
        <v>0</v>
      </c>
      <c r="AZ8" s="11">
        <v>1</v>
      </c>
      <c r="BA8" s="11">
        <v>1</v>
      </c>
      <c r="BB8" s="11">
        <v>1</v>
      </c>
      <c r="BC8" s="11">
        <v>0</v>
      </c>
      <c r="BD8" s="11">
        <v>0</v>
      </c>
      <c r="BE8" s="11">
        <v>0</v>
      </c>
      <c r="BF8" s="11">
        <v>0</v>
      </c>
      <c r="BG8" s="59" t="s">
        <v>424</v>
      </c>
      <c r="BH8" s="10" t="s">
        <v>120</v>
      </c>
      <c r="BI8" s="47">
        <v>46037</v>
      </c>
      <c r="BJ8" s="8" t="s">
        <v>452</v>
      </c>
      <c r="BK8" s="8" t="s">
        <v>453</v>
      </c>
      <c r="BL8" s="8" t="s">
        <v>454</v>
      </c>
      <c r="BM8" s="11" t="s">
        <v>423</v>
      </c>
      <c r="BN8" s="11" t="s">
        <v>441</v>
      </c>
      <c r="BO8" s="11" t="s">
        <v>441</v>
      </c>
      <c r="BP8" s="11" t="s">
        <v>441</v>
      </c>
      <c r="BQ8" s="11" t="s">
        <v>441</v>
      </c>
      <c r="BR8" s="11" t="s">
        <v>441</v>
      </c>
      <c r="BS8" s="11" t="s">
        <v>441</v>
      </c>
      <c r="BT8" s="11" t="s">
        <v>441</v>
      </c>
      <c r="BU8" s="11" t="s">
        <v>441</v>
      </c>
      <c r="BV8" s="11" t="s">
        <v>441</v>
      </c>
      <c r="BW8" s="11" t="s">
        <v>441</v>
      </c>
      <c r="BX8" s="11" t="s">
        <v>441</v>
      </c>
      <c r="BY8" s="11" t="s">
        <v>441</v>
      </c>
      <c r="BZ8" s="11" t="s">
        <v>441</v>
      </c>
      <c r="CA8" s="57" t="s">
        <v>442</v>
      </c>
      <c r="CB8" s="58">
        <v>46145</v>
      </c>
      <c r="CC8" s="11" t="s">
        <v>443</v>
      </c>
      <c r="CD8" s="11" t="s">
        <v>453</v>
      </c>
      <c r="CE8" s="11" t="s">
        <v>455</v>
      </c>
      <c r="CF8" s="11" t="s">
        <v>441</v>
      </c>
      <c r="CG8" s="58">
        <v>46102</v>
      </c>
      <c r="CH8" s="11">
        <v>20000</v>
      </c>
    </row>
    <row r="9" spans="1:93" ht="45" x14ac:dyDescent="0.25">
      <c r="A9" s="8">
        <v>8</v>
      </c>
      <c r="B9" s="20" t="s">
        <v>120</v>
      </c>
      <c r="C9" s="33">
        <v>46100</v>
      </c>
      <c r="D9" s="20" t="s">
        <v>106</v>
      </c>
      <c r="E9" s="8" t="s">
        <v>177</v>
      </c>
      <c r="F9" s="51" t="s">
        <v>427</v>
      </c>
      <c r="H9" s="2" t="s">
        <v>133</v>
      </c>
      <c r="I9" s="11" t="s">
        <v>167</v>
      </c>
      <c r="J9" s="11" t="s">
        <v>410</v>
      </c>
      <c r="K9" s="11">
        <v>76</v>
      </c>
      <c r="L9" s="11">
        <v>172</v>
      </c>
      <c r="M9" s="12"/>
      <c r="N9" s="11" t="s">
        <v>152</v>
      </c>
      <c r="O9" s="13" t="s">
        <v>158</v>
      </c>
      <c r="P9" s="14"/>
      <c r="Q9" s="6"/>
      <c r="R9" s="14"/>
      <c r="S9" s="32">
        <v>0.2409</v>
      </c>
      <c r="T9" s="15">
        <v>9.7500000000000003E-2</v>
      </c>
      <c r="U9" s="34">
        <v>2498838</v>
      </c>
      <c r="V9" s="36">
        <v>601970</v>
      </c>
      <c r="W9" s="35">
        <v>1203940</v>
      </c>
      <c r="Y9" s="34"/>
      <c r="Z9" s="37"/>
      <c r="AA9" s="34"/>
      <c r="AB9" s="37"/>
      <c r="AC9" s="34"/>
      <c r="AD9" s="34"/>
      <c r="AE9" s="34"/>
      <c r="AF9" s="34"/>
      <c r="AG9" s="34"/>
      <c r="AH9" s="17"/>
      <c r="AL9" s="24" t="s">
        <v>247</v>
      </c>
      <c r="AM9" s="8" t="s">
        <v>248</v>
      </c>
      <c r="AN9" s="8" t="s">
        <v>253</v>
      </c>
      <c r="AO9" s="8" t="s">
        <v>259</v>
      </c>
      <c r="AP9" s="39" t="s">
        <v>417</v>
      </c>
      <c r="AQ9" s="39">
        <v>32</v>
      </c>
      <c r="AR9" s="39" t="s">
        <v>418</v>
      </c>
      <c r="AS9" s="8" t="s">
        <v>419</v>
      </c>
      <c r="AU9" s="8" t="s">
        <v>420</v>
      </c>
      <c r="AX9" s="8" t="s">
        <v>419</v>
      </c>
      <c r="AY9" s="11">
        <v>1</v>
      </c>
      <c r="AZ9" s="11">
        <v>2</v>
      </c>
      <c r="BA9" s="11">
        <v>3</v>
      </c>
      <c r="BB9" s="11">
        <v>4</v>
      </c>
      <c r="BC9" s="11">
        <v>1</v>
      </c>
      <c r="BD9" s="11">
        <v>1</v>
      </c>
      <c r="BE9" s="11">
        <v>2</v>
      </c>
      <c r="BF9" s="11">
        <v>0</v>
      </c>
      <c r="BG9" s="59" t="s">
        <v>424</v>
      </c>
      <c r="BH9" s="10" t="s">
        <v>120</v>
      </c>
      <c r="BI9" s="47">
        <v>46037</v>
      </c>
      <c r="BJ9" s="8" t="s">
        <v>452</v>
      </c>
      <c r="BK9" s="8" t="s">
        <v>453</v>
      </c>
      <c r="BL9" s="8" t="s">
        <v>454</v>
      </c>
      <c r="BM9" s="11" t="s">
        <v>423</v>
      </c>
      <c r="BN9" s="11" t="s">
        <v>441</v>
      </c>
      <c r="BO9" s="11" t="s">
        <v>441</v>
      </c>
      <c r="BP9" s="11" t="s">
        <v>441</v>
      </c>
      <c r="BQ9" s="11" t="s">
        <v>441</v>
      </c>
      <c r="BR9" s="11" t="s">
        <v>441</v>
      </c>
      <c r="BS9" s="11" t="s">
        <v>441</v>
      </c>
      <c r="BT9" s="11" t="s">
        <v>441</v>
      </c>
      <c r="BU9" s="11" t="s">
        <v>441</v>
      </c>
      <c r="BV9" s="11" t="s">
        <v>441</v>
      </c>
      <c r="BW9" s="11" t="s">
        <v>441</v>
      </c>
      <c r="BX9" s="11" t="s">
        <v>441</v>
      </c>
      <c r="BY9" s="11" t="s">
        <v>441</v>
      </c>
      <c r="BZ9" s="11" t="s">
        <v>441</v>
      </c>
      <c r="CA9" s="57" t="s">
        <v>442</v>
      </c>
      <c r="CB9" s="58">
        <v>46145</v>
      </c>
      <c r="CC9" s="11" t="s">
        <v>443</v>
      </c>
      <c r="CD9" s="11" t="s">
        <v>453</v>
      </c>
      <c r="CE9" s="11" t="s">
        <v>455</v>
      </c>
      <c r="CF9" s="11" t="s">
        <v>441</v>
      </c>
      <c r="CG9" s="58">
        <v>46102</v>
      </c>
      <c r="CH9" s="11">
        <v>20000</v>
      </c>
    </row>
    <row r="10" spans="1:93" ht="45" x14ac:dyDescent="0.25">
      <c r="A10" s="8">
        <v>9</v>
      </c>
      <c r="B10" s="20" t="s">
        <v>120</v>
      </c>
      <c r="C10" s="33">
        <v>46100</v>
      </c>
      <c r="D10" s="20" t="s">
        <v>106</v>
      </c>
      <c r="E10" s="8" t="s">
        <v>178</v>
      </c>
      <c r="F10" s="51" t="s">
        <v>428</v>
      </c>
      <c r="H10" s="2" t="s">
        <v>133</v>
      </c>
      <c r="I10" s="11" t="s">
        <v>167</v>
      </c>
      <c r="J10" s="11" t="s">
        <v>410</v>
      </c>
      <c r="K10" s="11">
        <v>76</v>
      </c>
      <c r="L10" s="11">
        <v>172</v>
      </c>
      <c r="M10" s="12"/>
      <c r="N10" s="11" t="s">
        <v>152</v>
      </c>
      <c r="O10" s="13" t="s">
        <v>158</v>
      </c>
      <c r="P10" s="14"/>
      <c r="Q10" s="6"/>
      <c r="R10" s="14"/>
      <c r="S10" s="32">
        <v>0.2409</v>
      </c>
      <c r="T10" s="15">
        <v>9.7500000000000003E-2</v>
      </c>
      <c r="U10" s="34">
        <v>2498838</v>
      </c>
      <c r="V10" s="36">
        <v>601970</v>
      </c>
      <c r="W10" s="35">
        <v>1203940</v>
      </c>
      <c r="Y10" s="34"/>
      <c r="Z10" s="37"/>
      <c r="AA10" s="34"/>
      <c r="AB10" s="37"/>
      <c r="AC10" s="34"/>
      <c r="AD10" s="34"/>
      <c r="AE10" s="34"/>
      <c r="AF10" s="34"/>
      <c r="AG10" s="34"/>
      <c r="AH10" s="17"/>
      <c r="AL10" s="24" t="s">
        <v>249</v>
      </c>
      <c r="AM10" s="8" t="s">
        <v>239</v>
      </c>
      <c r="AN10" s="8" t="s">
        <v>240</v>
      </c>
      <c r="AO10" s="8" t="s">
        <v>260</v>
      </c>
      <c r="AP10" s="42"/>
      <c r="AQ10" s="39">
        <v>70</v>
      </c>
      <c r="AR10" s="39" t="s">
        <v>418</v>
      </c>
      <c r="AS10" s="8" t="s">
        <v>444</v>
      </c>
      <c r="BG10" s="59" t="s">
        <v>424</v>
      </c>
      <c r="BH10" s="10" t="s">
        <v>120</v>
      </c>
      <c r="BI10" s="47">
        <v>46037</v>
      </c>
      <c r="BJ10" s="8" t="s">
        <v>452</v>
      </c>
      <c r="BK10" s="8" t="s">
        <v>453</v>
      </c>
      <c r="BL10" s="8" t="s">
        <v>454</v>
      </c>
      <c r="BM10" s="11" t="s">
        <v>423</v>
      </c>
      <c r="BN10" s="11" t="s">
        <v>441</v>
      </c>
      <c r="BO10" s="11" t="s">
        <v>441</v>
      </c>
      <c r="BP10" s="11" t="s">
        <v>441</v>
      </c>
      <c r="BQ10" s="11" t="s">
        <v>441</v>
      </c>
      <c r="BR10" s="11" t="s">
        <v>441</v>
      </c>
      <c r="BS10" s="11" t="s">
        <v>441</v>
      </c>
      <c r="BT10" s="11" t="s">
        <v>441</v>
      </c>
      <c r="BU10" s="11" t="s">
        <v>441</v>
      </c>
      <c r="BV10" s="11" t="s">
        <v>441</v>
      </c>
      <c r="BW10" s="11" t="s">
        <v>441</v>
      </c>
      <c r="BX10" s="11" t="s">
        <v>441</v>
      </c>
      <c r="BY10" s="11" t="s">
        <v>441</v>
      </c>
      <c r="BZ10" s="11" t="s">
        <v>441</v>
      </c>
      <c r="CA10" s="57" t="s">
        <v>442</v>
      </c>
      <c r="CB10" s="58">
        <v>46145</v>
      </c>
      <c r="CC10" s="11" t="s">
        <v>443</v>
      </c>
      <c r="CD10" s="11" t="s">
        <v>453</v>
      </c>
      <c r="CE10" s="11" t="s">
        <v>455</v>
      </c>
      <c r="CF10" s="11" t="s">
        <v>441</v>
      </c>
      <c r="CG10" s="58">
        <v>46102</v>
      </c>
      <c r="CH10" s="11">
        <v>20000</v>
      </c>
    </row>
    <row r="11" spans="1:93" ht="45" x14ac:dyDescent="0.25">
      <c r="A11" s="8">
        <v>10</v>
      </c>
      <c r="B11" s="20" t="s">
        <v>120</v>
      </c>
      <c r="C11" s="33">
        <v>46100</v>
      </c>
      <c r="D11" s="20" t="s">
        <v>106</v>
      </c>
      <c r="E11" s="8" t="s">
        <v>179</v>
      </c>
      <c r="H11" s="2" t="s">
        <v>133</v>
      </c>
      <c r="I11" s="11" t="s">
        <v>167</v>
      </c>
      <c r="J11" s="11" t="s">
        <v>410</v>
      </c>
      <c r="K11" s="11">
        <v>76</v>
      </c>
      <c r="L11" s="11">
        <v>172</v>
      </c>
      <c r="M11" s="12"/>
      <c r="N11" s="11" t="s">
        <v>152</v>
      </c>
      <c r="O11" s="13" t="s">
        <v>158</v>
      </c>
      <c r="P11" s="14"/>
      <c r="Q11" s="6"/>
      <c r="R11" s="14"/>
      <c r="S11" s="32">
        <v>0.2409</v>
      </c>
      <c r="T11" s="15">
        <v>9.7500000000000003E-2</v>
      </c>
      <c r="U11" s="34">
        <v>2498838</v>
      </c>
      <c r="V11" s="36">
        <v>601970</v>
      </c>
      <c r="W11" s="35">
        <v>1203940</v>
      </c>
      <c r="Y11" s="34"/>
      <c r="Z11" s="37"/>
      <c r="AA11" s="34"/>
      <c r="AB11" s="37"/>
      <c r="AC11" s="34"/>
      <c r="AD11" s="34"/>
      <c r="AE11" s="34"/>
      <c r="AF11" s="34"/>
      <c r="AG11" s="34"/>
      <c r="AH11" s="17"/>
      <c r="AL11" s="24" t="s">
        <v>250</v>
      </c>
      <c r="AM11" s="8" t="s">
        <v>251</v>
      </c>
      <c r="AN11" s="8" t="s">
        <v>254</v>
      </c>
      <c r="AO11" s="8" t="s">
        <v>261</v>
      </c>
      <c r="AP11" s="42"/>
      <c r="AQ11" s="39">
        <v>62</v>
      </c>
      <c r="AR11" s="39" t="s">
        <v>418</v>
      </c>
      <c r="AS11" s="8" t="s">
        <v>419</v>
      </c>
      <c r="BG11" s="59" t="s">
        <v>424</v>
      </c>
      <c r="BH11" s="10" t="s">
        <v>120</v>
      </c>
      <c r="BI11" s="47">
        <v>46037</v>
      </c>
      <c r="BJ11" s="8" t="s">
        <v>452</v>
      </c>
      <c r="BK11" s="8" t="s">
        <v>453</v>
      </c>
      <c r="BL11" s="8" t="s">
        <v>454</v>
      </c>
      <c r="BM11" s="11" t="s">
        <v>423</v>
      </c>
      <c r="BN11" s="11" t="s">
        <v>441</v>
      </c>
      <c r="BO11" s="11" t="s">
        <v>441</v>
      </c>
      <c r="BP11" s="11" t="s">
        <v>441</v>
      </c>
      <c r="BQ11" s="11" t="s">
        <v>441</v>
      </c>
      <c r="BR11" s="11" t="s">
        <v>441</v>
      </c>
      <c r="BS11" s="11" t="s">
        <v>441</v>
      </c>
      <c r="BT11" s="11" t="s">
        <v>441</v>
      </c>
      <c r="BU11" s="11" t="s">
        <v>441</v>
      </c>
      <c r="BV11" s="11" t="s">
        <v>441</v>
      </c>
      <c r="BW11" s="11" t="s">
        <v>441</v>
      </c>
      <c r="BX11" s="11" t="s">
        <v>441</v>
      </c>
      <c r="BY11" s="11" t="s">
        <v>441</v>
      </c>
      <c r="BZ11" s="11" t="s">
        <v>441</v>
      </c>
      <c r="CA11" s="57" t="s">
        <v>442</v>
      </c>
      <c r="CB11" s="58">
        <v>46145</v>
      </c>
      <c r="CC11" s="11" t="s">
        <v>443</v>
      </c>
      <c r="CD11" s="11" t="s">
        <v>453</v>
      </c>
      <c r="CE11" s="11" t="s">
        <v>455</v>
      </c>
      <c r="CF11" s="11" t="s">
        <v>441</v>
      </c>
      <c r="CG11" s="58">
        <v>46102</v>
      </c>
      <c r="CH11" s="11">
        <v>20000</v>
      </c>
    </row>
    <row r="12" spans="1:93" x14ac:dyDescent="0.25">
      <c r="A12" s="8">
        <v>11</v>
      </c>
      <c r="B12" s="11" t="s">
        <v>121</v>
      </c>
      <c r="C12" s="33">
        <v>46100</v>
      </c>
      <c r="D12" s="23" t="s">
        <v>107</v>
      </c>
      <c r="E12" s="8" t="s">
        <v>107</v>
      </c>
      <c r="H12" s="2" t="s">
        <v>133</v>
      </c>
      <c r="I12" s="11" t="s">
        <v>167</v>
      </c>
      <c r="J12" s="11" t="s">
        <v>410</v>
      </c>
      <c r="K12" s="11">
        <v>76</v>
      </c>
      <c r="L12" s="11" t="s">
        <v>97</v>
      </c>
      <c r="M12" s="12" t="s">
        <v>137</v>
      </c>
      <c r="N12" s="11" t="s">
        <v>153</v>
      </c>
      <c r="O12" s="13" t="s">
        <v>158</v>
      </c>
      <c r="P12" s="14"/>
      <c r="Q12" s="6"/>
      <c r="R12" s="14"/>
      <c r="S12" s="15">
        <v>9.0200000000000002E-2</v>
      </c>
      <c r="T12" s="15">
        <v>3.6499999999999998E-2</v>
      </c>
      <c r="U12" s="34">
        <v>2498838</v>
      </c>
      <c r="V12" s="36">
        <v>225395</v>
      </c>
      <c r="W12" s="35">
        <v>450790</v>
      </c>
      <c r="Y12" s="34">
        <v>0</v>
      </c>
      <c r="Z12" s="37"/>
      <c r="AA12" s="34">
        <v>0</v>
      </c>
      <c r="AB12" s="37"/>
      <c r="AC12" s="34">
        <v>0</v>
      </c>
      <c r="AD12" s="34">
        <v>450790</v>
      </c>
      <c r="AE12" s="34">
        <v>450790</v>
      </c>
      <c r="AF12" s="34">
        <v>63284</v>
      </c>
      <c r="AG12" s="34">
        <v>964864</v>
      </c>
      <c r="AH12" s="17"/>
      <c r="AL12" s="24" t="s">
        <v>263</v>
      </c>
      <c r="AM12" s="8" t="s">
        <v>264</v>
      </c>
      <c r="AN12" s="8" t="s">
        <v>265</v>
      </c>
      <c r="AO12" s="8" t="s">
        <v>262</v>
      </c>
    </row>
    <row r="13" spans="1:93" x14ac:dyDescent="0.25">
      <c r="A13" s="8">
        <v>12</v>
      </c>
      <c r="B13" s="9" t="s">
        <v>122</v>
      </c>
      <c r="C13" s="33">
        <v>46100</v>
      </c>
      <c r="D13" s="23" t="s">
        <v>108</v>
      </c>
      <c r="E13" s="30" t="s">
        <v>108</v>
      </c>
      <c r="H13" s="2" t="s">
        <v>133</v>
      </c>
      <c r="I13" s="11" t="s">
        <v>167</v>
      </c>
      <c r="J13" s="11" t="s">
        <v>410</v>
      </c>
      <c r="K13" s="11">
        <v>76</v>
      </c>
      <c r="L13" s="9" t="s">
        <v>98</v>
      </c>
      <c r="M13" s="11" t="s">
        <v>138</v>
      </c>
      <c r="N13" s="11" t="s">
        <v>154</v>
      </c>
      <c r="O13" s="13" t="s">
        <v>159</v>
      </c>
      <c r="P13" s="14"/>
      <c r="Q13" s="6"/>
      <c r="R13" s="14"/>
      <c r="S13" s="15">
        <v>0</v>
      </c>
      <c r="T13" s="15">
        <v>7.85E-2</v>
      </c>
      <c r="U13" s="34">
        <v>2536416</v>
      </c>
      <c r="V13" s="36">
        <v>492065</v>
      </c>
      <c r="W13" s="35">
        <v>984130</v>
      </c>
      <c r="Y13" s="34">
        <v>0</v>
      </c>
      <c r="Z13" s="37"/>
      <c r="AA13" s="34">
        <v>0</v>
      </c>
      <c r="AB13" s="37"/>
      <c r="AC13" s="34">
        <v>0</v>
      </c>
      <c r="AD13" s="34">
        <v>984130</v>
      </c>
      <c r="AE13" s="34">
        <v>984130</v>
      </c>
      <c r="AF13" s="34">
        <v>138156</v>
      </c>
      <c r="AG13" s="34">
        <v>2106416</v>
      </c>
      <c r="AH13" s="17"/>
      <c r="AL13" s="18" t="s">
        <v>266</v>
      </c>
      <c r="AM13" s="19" t="s">
        <v>239</v>
      </c>
      <c r="AN13" s="19" t="s">
        <v>240</v>
      </c>
      <c r="AO13" s="19" t="s">
        <v>267</v>
      </c>
    </row>
    <row r="14" spans="1:93" x14ac:dyDescent="0.25">
      <c r="A14" s="8">
        <v>13</v>
      </c>
      <c r="B14" s="20" t="s">
        <v>122</v>
      </c>
      <c r="C14" s="33">
        <v>46100</v>
      </c>
      <c r="D14" s="11" t="s">
        <v>108</v>
      </c>
      <c r="E14" s="30" t="s">
        <v>108</v>
      </c>
      <c r="H14" s="2" t="s">
        <v>133</v>
      </c>
      <c r="I14" s="11" t="s">
        <v>167</v>
      </c>
      <c r="J14" s="11" t="s">
        <v>410</v>
      </c>
      <c r="K14" s="11">
        <v>76</v>
      </c>
      <c r="L14" s="9" t="s">
        <v>98</v>
      </c>
      <c r="M14" s="11" t="s">
        <v>139</v>
      </c>
      <c r="N14" s="11" t="s">
        <v>154</v>
      </c>
      <c r="O14" s="13" t="s">
        <v>159</v>
      </c>
      <c r="Q14" s="6"/>
      <c r="R14" s="14"/>
      <c r="S14" s="15">
        <v>0.1426</v>
      </c>
      <c r="T14" s="15">
        <v>5.7700000000000001E-2</v>
      </c>
      <c r="U14" s="34">
        <v>2536416</v>
      </c>
      <c r="V14" s="36">
        <v>361693</v>
      </c>
      <c r="W14" s="35">
        <v>723386</v>
      </c>
      <c r="Y14" s="34">
        <v>0</v>
      </c>
      <c r="Z14" s="37"/>
      <c r="AA14" s="34">
        <v>0</v>
      </c>
      <c r="AB14" s="37"/>
      <c r="AC14" s="34">
        <v>0</v>
      </c>
      <c r="AD14" s="34">
        <v>723386</v>
      </c>
      <c r="AE14" s="34">
        <v>723386</v>
      </c>
      <c r="AF14" s="34">
        <v>101552</v>
      </c>
      <c r="AG14" s="34">
        <v>1548324</v>
      </c>
      <c r="AH14" s="17"/>
      <c r="AL14" s="21"/>
      <c r="AM14" s="22"/>
      <c r="AN14" s="22"/>
      <c r="AO14" s="22"/>
      <c r="AZ14" s="11">
        <v>2</v>
      </c>
      <c r="BA14" s="11">
        <v>3</v>
      </c>
      <c r="BB14" s="11">
        <v>4</v>
      </c>
      <c r="BC14" s="11">
        <v>3</v>
      </c>
      <c r="BD14" s="11">
        <v>4</v>
      </c>
      <c r="BE14" s="11">
        <v>1</v>
      </c>
      <c r="BF14" s="11">
        <v>1</v>
      </c>
    </row>
    <row r="15" spans="1:93" x14ac:dyDescent="0.25">
      <c r="A15" s="8">
        <v>14</v>
      </c>
      <c r="B15" s="9" t="s">
        <v>123</v>
      </c>
      <c r="C15" s="33">
        <v>46100</v>
      </c>
      <c r="D15" s="10" t="s">
        <v>109</v>
      </c>
      <c r="E15" s="19" t="s">
        <v>109</v>
      </c>
      <c r="H15" s="2" t="s">
        <v>133</v>
      </c>
      <c r="I15" s="11" t="s">
        <v>167</v>
      </c>
      <c r="J15" s="11" t="s">
        <v>410</v>
      </c>
      <c r="K15" s="11">
        <v>76</v>
      </c>
      <c r="L15" s="9" t="s">
        <v>99</v>
      </c>
      <c r="M15" s="11" t="s">
        <v>140</v>
      </c>
      <c r="N15" s="11" t="s">
        <v>155</v>
      </c>
      <c r="O15" s="13" t="s">
        <v>160</v>
      </c>
      <c r="Q15" s="6"/>
      <c r="R15" s="14"/>
      <c r="S15" s="15">
        <v>3.6999999999999998E-2</v>
      </c>
      <c r="T15" s="15">
        <v>1.4999999999999999E-2</v>
      </c>
      <c r="U15" s="34">
        <v>2303422</v>
      </c>
      <c r="V15" s="36">
        <v>85227</v>
      </c>
      <c r="W15" s="35">
        <v>170454</v>
      </c>
      <c r="Y15" s="34">
        <v>0</v>
      </c>
      <c r="Z15" s="37"/>
      <c r="AA15" s="34">
        <v>0</v>
      </c>
      <c r="AB15" s="37"/>
      <c r="AC15" s="34">
        <v>0</v>
      </c>
      <c r="AD15" s="34">
        <v>170454</v>
      </c>
      <c r="AE15" s="34">
        <v>170454</v>
      </c>
      <c r="AF15" s="34">
        <v>23929</v>
      </c>
      <c r="AG15" s="34">
        <v>364837</v>
      </c>
      <c r="AH15" s="17"/>
      <c r="AL15" s="18" t="s">
        <v>269</v>
      </c>
      <c r="AM15" s="19" t="s">
        <v>239</v>
      </c>
      <c r="AN15" s="19" t="s">
        <v>240</v>
      </c>
      <c r="AO15" s="19" t="s">
        <v>268</v>
      </c>
    </row>
    <row r="16" spans="1:93" x14ac:dyDescent="0.25">
      <c r="A16" s="8">
        <v>15</v>
      </c>
      <c r="B16" s="20" t="s">
        <v>123</v>
      </c>
      <c r="C16" s="33">
        <v>46100</v>
      </c>
      <c r="D16" s="20" t="s">
        <v>109</v>
      </c>
      <c r="E16" s="19" t="s">
        <v>109</v>
      </c>
      <c r="H16" s="2" t="s">
        <v>133</v>
      </c>
      <c r="I16" s="11" t="s">
        <v>167</v>
      </c>
      <c r="J16" s="11" t="s">
        <v>410</v>
      </c>
      <c r="K16" s="11">
        <v>76</v>
      </c>
      <c r="L16" s="9" t="s">
        <v>99</v>
      </c>
      <c r="M16" s="11" t="s">
        <v>141</v>
      </c>
      <c r="N16" s="11" t="s">
        <v>155</v>
      </c>
      <c r="O16" s="13" t="s">
        <v>160</v>
      </c>
      <c r="Q16" s="6"/>
      <c r="R16" s="14"/>
      <c r="S16" s="15">
        <v>5.6000000000000001E-2</v>
      </c>
      <c r="T16" s="15">
        <v>2.2499999999999999E-2</v>
      </c>
      <c r="U16" s="34">
        <v>2303422</v>
      </c>
      <c r="V16" s="36">
        <v>128992</v>
      </c>
      <c r="W16" s="35">
        <v>257984</v>
      </c>
      <c r="X16" s="8">
        <v>7</v>
      </c>
      <c r="Y16" s="34">
        <v>34198</v>
      </c>
      <c r="Z16" s="37">
        <v>19</v>
      </c>
      <c r="AA16" s="34">
        <v>0</v>
      </c>
      <c r="AB16" s="37">
        <v>24</v>
      </c>
      <c r="AC16" s="34">
        <v>0</v>
      </c>
      <c r="AD16" s="34">
        <v>292182</v>
      </c>
      <c r="AE16" s="34">
        <v>292182</v>
      </c>
      <c r="AF16" s="34">
        <v>36217</v>
      </c>
      <c r="AG16" s="34">
        <v>620581</v>
      </c>
      <c r="AH16" s="17"/>
      <c r="AL16" s="26"/>
      <c r="AM16" s="25"/>
      <c r="AN16" s="25"/>
      <c r="AO16" s="25"/>
    </row>
    <row r="17" spans="1:86" x14ac:dyDescent="0.25">
      <c r="A17" s="8">
        <v>16</v>
      </c>
      <c r="B17" s="20" t="s">
        <v>123</v>
      </c>
      <c r="C17" s="33">
        <v>46100</v>
      </c>
      <c r="D17" s="20" t="s">
        <v>109</v>
      </c>
      <c r="E17" s="19" t="s">
        <v>109</v>
      </c>
      <c r="H17" s="2" t="s">
        <v>133</v>
      </c>
      <c r="I17" s="11" t="s">
        <v>167</v>
      </c>
      <c r="J17" s="11" t="s">
        <v>410</v>
      </c>
      <c r="K17" s="11">
        <v>76</v>
      </c>
      <c r="L17" s="9" t="s">
        <v>99</v>
      </c>
      <c r="M17" s="11" t="s">
        <v>142</v>
      </c>
      <c r="N17" s="11" t="s">
        <v>155</v>
      </c>
      <c r="O17" s="13" t="s">
        <v>160</v>
      </c>
      <c r="Q17" s="6"/>
      <c r="R17" s="14"/>
      <c r="S17" s="15">
        <v>3.6999999999999998E-2</v>
      </c>
      <c r="T17" s="15">
        <v>1.4999999999999999E-2</v>
      </c>
      <c r="U17" s="34">
        <v>2303422</v>
      </c>
      <c r="V17" s="36">
        <v>85227</v>
      </c>
      <c r="W17" s="35">
        <v>170454</v>
      </c>
      <c r="Y17" s="34">
        <v>0</v>
      </c>
      <c r="Z17" s="37"/>
      <c r="AA17" s="34">
        <v>0</v>
      </c>
      <c r="AB17" s="37"/>
      <c r="AC17" s="34">
        <v>0</v>
      </c>
      <c r="AD17" s="34">
        <v>170454</v>
      </c>
      <c r="AE17" s="34">
        <v>170454</v>
      </c>
      <c r="AF17" s="34">
        <v>23929</v>
      </c>
      <c r="AG17" s="34">
        <v>364837</v>
      </c>
      <c r="AH17" s="17"/>
      <c r="AL17" s="21"/>
      <c r="AM17" s="22"/>
      <c r="AN17" s="22"/>
      <c r="AO17" s="22"/>
    </row>
    <row r="18" spans="1:86" x14ac:dyDescent="0.25">
      <c r="A18" s="8">
        <v>17</v>
      </c>
      <c r="B18" s="11" t="s">
        <v>124</v>
      </c>
      <c r="C18" s="33">
        <v>46100</v>
      </c>
      <c r="D18" s="23" t="s">
        <v>110</v>
      </c>
      <c r="E18" s="8" t="s">
        <v>110</v>
      </c>
      <c r="H18" s="2" t="s">
        <v>133</v>
      </c>
      <c r="I18" s="11" t="s">
        <v>167</v>
      </c>
      <c r="J18" s="11" t="s">
        <v>410</v>
      </c>
      <c r="K18" s="11">
        <v>76</v>
      </c>
      <c r="L18" s="11" t="s">
        <v>100</v>
      </c>
      <c r="M18" s="11" t="s">
        <v>143</v>
      </c>
      <c r="N18" s="11" t="s">
        <v>152</v>
      </c>
      <c r="O18" s="13" t="s">
        <v>158</v>
      </c>
      <c r="Q18" s="6"/>
      <c r="R18" s="14"/>
      <c r="S18" s="15">
        <v>8.8999999999999996E-2</v>
      </c>
      <c r="T18" s="15">
        <v>3.5999999999999997E-2</v>
      </c>
      <c r="U18" s="34">
        <v>2498838</v>
      </c>
      <c r="V18" s="36">
        <v>222397</v>
      </c>
      <c r="W18" s="35">
        <v>444794</v>
      </c>
      <c r="Y18" s="34">
        <v>0</v>
      </c>
      <c r="Z18" s="37"/>
      <c r="AA18" s="34">
        <v>1487904</v>
      </c>
      <c r="AB18" s="37"/>
      <c r="AC18" s="34">
        <v>112324</v>
      </c>
      <c r="AD18" s="34">
        <v>2045022</v>
      </c>
      <c r="AE18" s="34">
        <v>2045022</v>
      </c>
      <c r="AF18" s="34">
        <v>62442</v>
      </c>
      <c r="AG18" s="34">
        <v>4152486</v>
      </c>
      <c r="AH18" s="17"/>
      <c r="AL18" s="24" t="s">
        <v>271</v>
      </c>
      <c r="AM18" s="8" t="s">
        <v>239</v>
      </c>
      <c r="AN18" s="8" t="s">
        <v>240</v>
      </c>
      <c r="AO18" s="8" t="s">
        <v>270</v>
      </c>
    </row>
    <row r="19" spans="1:86" ht="45" customHeight="1" x14ac:dyDescent="0.25">
      <c r="A19" s="8">
        <v>18</v>
      </c>
      <c r="B19" s="9" t="s">
        <v>125</v>
      </c>
      <c r="C19" s="33">
        <v>46100</v>
      </c>
      <c r="D19" s="23" t="s">
        <v>111</v>
      </c>
      <c r="E19" s="8" t="s">
        <v>181</v>
      </c>
      <c r="F19" s="45" t="s">
        <v>436</v>
      </c>
      <c r="G19" s="11" t="s">
        <v>437</v>
      </c>
      <c r="H19" s="2" t="s">
        <v>133</v>
      </c>
      <c r="I19" s="11" t="s">
        <v>167</v>
      </c>
      <c r="J19" s="11" t="s">
        <v>410</v>
      </c>
      <c r="K19" s="11">
        <v>76</v>
      </c>
      <c r="L19" s="11" t="s">
        <v>101</v>
      </c>
      <c r="M19" s="11" t="s">
        <v>144</v>
      </c>
      <c r="N19" s="11" t="s">
        <v>93</v>
      </c>
      <c r="O19" s="13" t="s">
        <v>157</v>
      </c>
      <c r="P19" s="29" t="s">
        <v>471</v>
      </c>
      <c r="Q19" s="15">
        <v>3.9E-2</v>
      </c>
      <c r="R19" s="44">
        <v>1.6E-2</v>
      </c>
      <c r="S19" s="15">
        <v>3.9E-2</v>
      </c>
      <c r="T19" s="15">
        <v>1.6E-2</v>
      </c>
      <c r="U19" s="34">
        <v>2951781</v>
      </c>
      <c r="V19" s="36">
        <v>115119</v>
      </c>
      <c r="W19" s="35">
        <v>230238</v>
      </c>
      <c r="Y19" s="34">
        <v>0</v>
      </c>
      <c r="Z19" s="37"/>
      <c r="AA19" s="34">
        <v>0</v>
      </c>
      <c r="AB19" s="37"/>
      <c r="AC19" s="34">
        <v>0</v>
      </c>
      <c r="AD19" s="34">
        <v>230238</v>
      </c>
      <c r="AE19" s="34">
        <v>230238</v>
      </c>
      <c r="AF19" s="34">
        <v>32322</v>
      </c>
      <c r="AG19" s="34">
        <v>492798</v>
      </c>
      <c r="AH19" s="56">
        <v>270000</v>
      </c>
      <c r="AI19" s="49" t="s">
        <v>464</v>
      </c>
      <c r="AJ19" s="11" t="s">
        <v>467</v>
      </c>
      <c r="AK19" s="29" t="s">
        <v>470</v>
      </c>
      <c r="AL19" s="24" t="s">
        <v>274</v>
      </c>
      <c r="AM19" s="8" t="s">
        <v>239</v>
      </c>
      <c r="AN19" s="8" t="s">
        <v>240</v>
      </c>
      <c r="AO19" s="8" t="s">
        <v>272</v>
      </c>
      <c r="AP19" s="43" t="s">
        <v>431</v>
      </c>
      <c r="AQ19" s="43">
        <v>41</v>
      </c>
      <c r="AR19" s="43" t="s">
        <v>433</v>
      </c>
      <c r="AS19" s="8" t="s">
        <v>419</v>
      </c>
      <c r="AT19" s="8" t="s">
        <v>445</v>
      </c>
      <c r="AU19" s="8" t="s">
        <v>434</v>
      </c>
      <c r="AV19" s="8">
        <v>120000</v>
      </c>
      <c r="AZ19" s="11">
        <v>2</v>
      </c>
      <c r="BA19" s="11">
        <v>2</v>
      </c>
      <c r="BB19" s="11">
        <v>1</v>
      </c>
      <c r="BC19" s="11">
        <v>0</v>
      </c>
      <c r="BD19" s="11">
        <v>0</v>
      </c>
      <c r="BE19" s="11">
        <v>1</v>
      </c>
      <c r="BF19" s="11" t="s">
        <v>441</v>
      </c>
      <c r="BG19" s="59" t="s">
        <v>459</v>
      </c>
      <c r="BH19" s="10" t="s">
        <v>125</v>
      </c>
      <c r="BI19" s="47">
        <v>46102</v>
      </c>
      <c r="BJ19" s="8" t="s">
        <v>460</v>
      </c>
      <c r="BK19" s="8" t="s">
        <v>453</v>
      </c>
      <c r="BL19" s="8" t="s">
        <v>461</v>
      </c>
      <c r="CF19" s="8" t="s">
        <v>441</v>
      </c>
      <c r="CG19" s="47">
        <v>46106</v>
      </c>
      <c r="CH19" s="8">
        <v>15000</v>
      </c>
    </row>
    <row r="20" spans="1:86" ht="45" x14ac:dyDescent="0.25">
      <c r="A20" s="8">
        <v>19</v>
      </c>
      <c r="B20" s="20" t="s">
        <v>125</v>
      </c>
      <c r="C20" s="33">
        <v>46100</v>
      </c>
      <c r="D20" s="23" t="s">
        <v>111</v>
      </c>
      <c r="E20" s="8" t="s">
        <v>182</v>
      </c>
      <c r="F20" s="45" t="s">
        <v>436</v>
      </c>
      <c r="G20" s="11" t="s">
        <v>437</v>
      </c>
      <c r="H20" s="2" t="s">
        <v>133</v>
      </c>
      <c r="I20" s="11" t="s">
        <v>167</v>
      </c>
      <c r="J20" s="11" t="s">
        <v>410</v>
      </c>
      <c r="K20" s="11">
        <v>76</v>
      </c>
      <c r="L20" s="11" t="s">
        <v>101</v>
      </c>
      <c r="M20" s="11"/>
      <c r="N20" s="11" t="s">
        <v>93</v>
      </c>
      <c r="O20" s="13" t="s">
        <v>157</v>
      </c>
      <c r="P20" s="29" t="s">
        <v>471</v>
      </c>
      <c r="Q20" s="6"/>
      <c r="R20" s="14"/>
      <c r="S20" s="15">
        <v>3.9E-2</v>
      </c>
      <c r="T20" s="15">
        <v>1.6E-2</v>
      </c>
      <c r="U20" s="34">
        <v>2951781</v>
      </c>
      <c r="V20" s="36">
        <v>115119</v>
      </c>
      <c r="W20" s="35">
        <v>230238</v>
      </c>
      <c r="X20" s="8">
        <v>9</v>
      </c>
      <c r="Y20" s="34"/>
      <c r="Z20" s="37"/>
      <c r="AA20" s="34"/>
      <c r="AB20" s="37"/>
      <c r="AC20" s="34"/>
      <c r="AD20" s="34"/>
      <c r="AE20" s="34"/>
      <c r="AF20" s="34"/>
      <c r="AG20" s="34"/>
      <c r="AH20" s="56">
        <v>222000</v>
      </c>
      <c r="AI20" s="49" t="s">
        <v>464</v>
      </c>
      <c r="AJ20" s="11" t="s">
        <v>467</v>
      </c>
      <c r="AL20" s="24" t="s">
        <v>275</v>
      </c>
      <c r="AM20" s="8" t="s">
        <v>246</v>
      </c>
      <c r="AN20" s="8" t="s">
        <v>252</v>
      </c>
      <c r="AO20" s="8" t="s">
        <v>273</v>
      </c>
      <c r="AP20" s="43" t="s">
        <v>432</v>
      </c>
      <c r="AQ20" s="43">
        <v>38</v>
      </c>
      <c r="AR20" s="43" t="s">
        <v>433</v>
      </c>
      <c r="AS20" s="8" t="s">
        <v>419</v>
      </c>
      <c r="AU20" s="8" t="s">
        <v>435</v>
      </c>
      <c r="AV20" s="8">
        <v>120000</v>
      </c>
      <c r="AZ20" s="11">
        <v>2</v>
      </c>
      <c r="BA20" s="11">
        <v>2</v>
      </c>
      <c r="BB20" s="11">
        <v>1</v>
      </c>
      <c r="BC20" s="11">
        <v>0</v>
      </c>
      <c r="BD20" s="11">
        <v>0</v>
      </c>
      <c r="BE20" s="11">
        <v>1</v>
      </c>
      <c r="BF20" s="11">
        <v>1</v>
      </c>
      <c r="BG20" s="59" t="s">
        <v>459</v>
      </c>
      <c r="BH20" s="10" t="s">
        <v>125</v>
      </c>
      <c r="BI20" s="47">
        <v>46102</v>
      </c>
      <c r="BJ20" s="8" t="s">
        <v>460</v>
      </c>
      <c r="BK20" s="8" t="s">
        <v>453</v>
      </c>
      <c r="BL20" s="8" t="s">
        <v>461</v>
      </c>
      <c r="CF20" s="8" t="s">
        <v>441</v>
      </c>
      <c r="CG20" s="47">
        <v>46106</v>
      </c>
      <c r="CH20" s="8">
        <v>15000</v>
      </c>
    </row>
    <row r="21" spans="1:86" ht="15.6" customHeight="1" x14ac:dyDescent="0.25">
      <c r="A21" s="8">
        <v>20</v>
      </c>
      <c r="B21" s="9" t="s">
        <v>126</v>
      </c>
      <c r="C21" s="33">
        <v>46100</v>
      </c>
      <c r="D21" s="10" t="s">
        <v>112</v>
      </c>
      <c r="E21" s="8" t="s">
        <v>183</v>
      </c>
      <c r="H21" s="2" t="s">
        <v>133</v>
      </c>
      <c r="I21" s="11" t="s">
        <v>167</v>
      </c>
      <c r="J21" s="11" t="s">
        <v>410</v>
      </c>
      <c r="K21" s="11">
        <v>76</v>
      </c>
      <c r="L21" s="9">
        <v>46</v>
      </c>
      <c r="M21" s="11">
        <v>257</v>
      </c>
      <c r="N21" s="11" t="s">
        <v>152</v>
      </c>
      <c r="O21" s="13" t="s">
        <v>158</v>
      </c>
      <c r="Q21" s="6"/>
      <c r="R21" s="14"/>
      <c r="S21" s="15">
        <v>3.9E-2</v>
      </c>
      <c r="T21" s="15">
        <v>0.30399999999999999</v>
      </c>
      <c r="U21" s="34">
        <v>2498838</v>
      </c>
      <c r="V21" s="36">
        <v>1877127</v>
      </c>
      <c r="W21" s="35">
        <v>3754254</v>
      </c>
      <c r="Y21" s="34">
        <v>0</v>
      </c>
      <c r="Z21" s="37"/>
      <c r="AA21" s="34">
        <v>0</v>
      </c>
      <c r="AB21" s="37"/>
      <c r="AC21" s="34">
        <v>0</v>
      </c>
      <c r="AD21" s="34">
        <v>3754254</v>
      </c>
      <c r="AE21" s="34">
        <v>3754254</v>
      </c>
      <c r="AF21" s="34">
        <v>527036</v>
      </c>
      <c r="AG21" s="34">
        <v>8035544</v>
      </c>
      <c r="AH21" s="17"/>
      <c r="AL21" s="24" t="s">
        <v>293</v>
      </c>
      <c r="AM21" s="8" t="s">
        <v>294</v>
      </c>
      <c r="AN21" s="8" t="s">
        <v>314</v>
      </c>
      <c r="AO21" s="8" t="s">
        <v>276</v>
      </c>
    </row>
    <row r="22" spans="1:86" x14ac:dyDescent="0.25">
      <c r="A22" s="8">
        <v>21</v>
      </c>
      <c r="B22" s="20" t="s">
        <v>126</v>
      </c>
      <c r="C22" s="33">
        <v>46100</v>
      </c>
      <c r="D22" s="20" t="s">
        <v>112</v>
      </c>
      <c r="E22" s="8" t="s">
        <v>184</v>
      </c>
      <c r="H22" s="2" t="s">
        <v>133</v>
      </c>
      <c r="I22" s="11" t="s">
        <v>167</v>
      </c>
      <c r="J22" s="11" t="s">
        <v>410</v>
      </c>
      <c r="K22" s="11">
        <v>76</v>
      </c>
      <c r="L22" s="9">
        <v>46</v>
      </c>
      <c r="M22" s="11">
        <v>316</v>
      </c>
      <c r="N22" s="11" t="s">
        <v>153</v>
      </c>
      <c r="O22" s="11" t="s">
        <v>158</v>
      </c>
      <c r="Q22" s="6"/>
      <c r="R22" s="14"/>
      <c r="S22" s="15">
        <v>3.9E-2</v>
      </c>
      <c r="T22" s="11">
        <v>3.3500000000000002E-2</v>
      </c>
      <c r="U22" s="34">
        <v>2498838</v>
      </c>
      <c r="V22" s="36">
        <v>206904</v>
      </c>
      <c r="W22" s="35">
        <v>413808</v>
      </c>
      <c r="Y22" s="34">
        <v>0</v>
      </c>
      <c r="Z22" s="37"/>
      <c r="AA22" s="34">
        <v>0</v>
      </c>
      <c r="AB22" s="37"/>
      <c r="AC22" s="34">
        <v>0</v>
      </c>
      <c r="AD22" s="34">
        <v>413808</v>
      </c>
      <c r="AE22" s="34">
        <v>413808</v>
      </c>
      <c r="AF22" s="34">
        <v>58092</v>
      </c>
      <c r="AG22" s="34">
        <v>885708</v>
      </c>
      <c r="AH22" s="17"/>
      <c r="AL22" s="24" t="s">
        <v>295</v>
      </c>
      <c r="AM22" s="8" t="s">
        <v>239</v>
      </c>
      <c r="AN22" s="8" t="s">
        <v>240</v>
      </c>
      <c r="AO22" s="8" t="s">
        <v>277</v>
      </c>
    </row>
    <row r="23" spans="1:86" x14ac:dyDescent="0.25">
      <c r="A23" s="8">
        <v>22</v>
      </c>
      <c r="B23" s="20" t="s">
        <v>126</v>
      </c>
      <c r="C23" s="33">
        <v>46100</v>
      </c>
      <c r="D23" s="20" t="s">
        <v>112</v>
      </c>
      <c r="E23" s="8" t="s">
        <v>185</v>
      </c>
      <c r="H23" s="2" t="s">
        <v>133</v>
      </c>
      <c r="I23" s="11" t="s">
        <v>167</v>
      </c>
      <c r="J23" s="11" t="s">
        <v>410</v>
      </c>
      <c r="K23" s="11">
        <v>76</v>
      </c>
      <c r="L23" s="9">
        <v>46</v>
      </c>
      <c r="M23" s="11">
        <v>317</v>
      </c>
      <c r="N23" s="11" t="s">
        <v>153</v>
      </c>
      <c r="O23" s="11" t="s">
        <v>158</v>
      </c>
      <c r="Q23" s="6"/>
      <c r="R23" s="14"/>
      <c r="S23" s="15">
        <v>3.9E-2</v>
      </c>
      <c r="T23" s="11">
        <v>4.0500000000000001E-2</v>
      </c>
      <c r="U23" s="34">
        <v>2498838</v>
      </c>
      <c r="V23" s="36">
        <v>250134</v>
      </c>
      <c r="W23" s="35">
        <v>500268</v>
      </c>
      <c r="Y23" s="34">
        <v>0</v>
      </c>
      <c r="Z23" s="37"/>
      <c r="AA23" s="34">
        <v>0</v>
      </c>
      <c r="AB23" s="37"/>
      <c r="AC23" s="34">
        <v>0</v>
      </c>
      <c r="AD23" s="34">
        <v>500268</v>
      </c>
      <c r="AE23" s="34">
        <v>500268</v>
      </c>
      <c r="AF23" s="34">
        <v>70229</v>
      </c>
      <c r="AG23" s="34">
        <v>1070765</v>
      </c>
      <c r="AH23" s="17"/>
      <c r="AL23" s="24" t="s">
        <v>296</v>
      </c>
      <c r="AM23" s="8" t="s">
        <v>239</v>
      </c>
      <c r="AN23" s="8" t="s">
        <v>240</v>
      </c>
      <c r="AO23" s="8" t="s">
        <v>278</v>
      </c>
    </row>
    <row r="24" spans="1:86" x14ac:dyDescent="0.25">
      <c r="A24" s="8">
        <v>23</v>
      </c>
      <c r="B24" s="20" t="s">
        <v>126</v>
      </c>
      <c r="C24" s="33">
        <v>46100</v>
      </c>
      <c r="D24" s="20" t="s">
        <v>112</v>
      </c>
      <c r="E24" s="8" t="s">
        <v>186</v>
      </c>
      <c r="H24" s="2" t="s">
        <v>133</v>
      </c>
      <c r="I24" s="11" t="s">
        <v>167</v>
      </c>
      <c r="J24" s="11" t="s">
        <v>410</v>
      </c>
      <c r="K24" s="11">
        <v>76</v>
      </c>
      <c r="L24" s="9">
        <v>46</v>
      </c>
      <c r="M24" s="11">
        <v>318</v>
      </c>
      <c r="N24" s="11" t="s">
        <v>153</v>
      </c>
      <c r="O24" s="11" t="s">
        <v>158</v>
      </c>
      <c r="Q24" s="6"/>
      <c r="R24" s="14"/>
      <c r="S24" s="15">
        <v>3.9E-2</v>
      </c>
      <c r="T24" s="11">
        <v>4.0500000000000001E-2</v>
      </c>
      <c r="U24" s="34">
        <v>2498838</v>
      </c>
      <c r="V24" s="36">
        <v>250134</v>
      </c>
      <c r="W24" s="35">
        <v>500268</v>
      </c>
      <c r="Y24" s="34">
        <v>0</v>
      </c>
      <c r="Z24" s="37"/>
      <c r="AA24" s="34">
        <v>0</v>
      </c>
      <c r="AB24" s="37"/>
      <c r="AC24" s="34">
        <v>0</v>
      </c>
      <c r="AD24" s="34">
        <v>500268</v>
      </c>
      <c r="AE24" s="34">
        <v>500268</v>
      </c>
      <c r="AF24" s="34">
        <v>70229</v>
      </c>
      <c r="AG24" s="34">
        <v>1070765</v>
      </c>
      <c r="AH24" s="17"/>
      <c r="AL24" s="24" t="s">
        <v>297</v>
      </c>
      <c r="AM24" s="8" t="s">
        <v>294</v>
      </c>
      <c r="AN24" s="8" t="s">
        <v>314</v>
      </c>
      <c r="AO24" s="8" t="s">
        <v>279</v>
      </c>
    </row>
    <row r="25" spans="1:86" x14ac:dyDescent="0.25">
      <c r="A25" s="8">
        <v>24</v>
      </c>
      <c r="B25" s="20" t="s">
        <v>126</v>
      </c>
      <c r="C25" s="33">
        <v>46100</v>
      </c>
      <c r="D25" s="20" t="s">
        <v>112</v>
      </c>
      <c r="E25" s="8" t="s">
        <v>187</v>
      </c>
      <c r="H25" s="2" t="s">
        <v>133</v>
      </c>
      <c r="I25" s="11" t="s">
        <v>167</v>
      </c>
      <c r="J25" s="11" t="s">
        <v>410</v>
      </c>
      <c r="K25" s="11">
        <v>76</v>
      </c>
      <c r="L25" s="9">
        <v>46</v>
      </c>
      <c r="M25" s="11">
        <v>319</v>
      </c>
      <c r="N25" s="11" t="s">
        <v>153</v>
      </c>
      <c r="O25" s="11" t="s">
        <v>158</v>
      </c>
      <c r="Q25" s="6"/>
      <c r="R25" s="14"/>
      <c r="S25" s="15">
        <v>3.9E-2</v>
      </c>
      <c r="T25" s="11">
        <v>4.0500000000000001E-2</v>
      </c>
      <c r="U25" s="34">
        <v>2498838</v>
      </c>
      <c r="V25" s="36">
        <v>250134</v>
      </c>
      <c r="W25" s="35">
        <v>500268</v>
      </c>
      <c r="Y25" s="34">
        <v>0</v>
      </c>
      <c r="Z25" s="37"/>
      <c r="AA25" s="34">
        <v>0</v>
      </c>
      <c r="AB25" s="37"/>
      <c r="AC25" s="34">
        <v>0</v>
      </c>
      <c r="AD25" s="34">
        <v>500268</v>
      </c>
      <c r="AE25" s="34">
        <v>500268</v>
      </c>
      <c r="AF25" s="34">
        <v>70229</v>
      </c>
      <c r="AG25" s="34">
        <v>1070765</v>
      </c>
      <c r="AH25" s="17"/>
      <c r="AL25" s="24" t="s">
        <v>298</v>
      </c>
      <c r="AM25" s="8" t="s">
        <v>299</v>
      </c>
      <c r="AN25" s="8" t="s">
        <v>315</v>
      </c>
      <c r="AO25" s="8" t="s">
        <v>280</v>
      </c>
    </row>
    <row r="26" spans="1:86" x14ac:dyDescent="0.25">
      <c r="A26" s="8">
        <v>25</v>
      </c>
      <c r="B26" s="20" t="s">
        <v>126</v>
      </c>
      <c r="C26" s="33">
        <v>46100</v>
      </c>
      <c r="D26" s="20" t="s">
        <v>112</v>
      </c>
      <c r="E26" s="8" t="s">
        <v>188</v>
      </c>
      <c r="H26" s="2" t="s">
        <v>133</v>
      </c>
      <c r="I26" s="11" t="s">
        <v>167</v>
      </c>
      <c r="J26" s="11" t="s">
        <v>410</v>
      </c>
      <c r="K26" s="11">
        <v>76</v>
      </c>
      <c r="L26" s="9">
        <v>46</v>
      </c>
      <c r="M26" s="11">
        <v>320</v>
      </c>
      <c r="N26" s="11" t="s">
        <v>153</v>
      </c>
      <c r="O26" s="11" t="s">
        <v>158</v>
      </c>
      <c r="Q26" s="6"/>
      <c r="R26" s="14"/>
      <c r="S26" s="15">
        <v>3.9E-2</v>
      </c>
      <c r="T26" s="11">
        <v>5.6500000000000002E-2</v>
      </c>
      <c r="U26" s="34">
        <v>2498838</v>
      </c>
      <c r="V26" s="36">
        <v>348838</v>
      </c>
      <c r="W26" s="35">
        <v>697676</v>
      </c>
      <c r="Y26" s="34">
        <v>0</v>
      </c>
      <c r="Z26" s="37"/>
      <c r="AA26" s="34">
        <v>0</v>
      </c>
      <c r="AB26" s="37"/>
      <c r="AC26" s="34">
        <v>325923</v>
      </c>
      <c r="AD26" s="34">
        <v>1023599</v>
      </c>
      <c r="AE26" s="34">
        <v>1023599</v>
      </c>
      <c r="AF26" s="34">
        <v>97942</v>
      </c>
      <c r="AG26" s="34">
        <v>2145140</v>
      </c>
      <c r="AH26" s="17"/>
      <c r="AL26" s="24" t="s">
        <v>300</v>
      </c>
      <c r="AM26" s="8" t="s">
        <v>301</v>
      </c>
      <c r="AN26" s="8" t="s">
        <v>316</v>
      </c>
      <c r="AO26" s="8" t="s">
        <v>281</v>
      </c>
    </row>
    <row r="27" spans="1:86" x14ac:dyDescent="0.25">
      <c r="A27" s="8">
        <v>26</v>
      </c>
      <c r="B27" s="20" t="s">
        <v>126</v>
      </c>
      <c r="C27" s="33">
        <v>46100</v>
      </c>
      <c r="D27" s="20" t="s">
        <v>112</v>
      </c>
      <c r="E27" s="8" t="s">
        <v>189</v>
      </c>
      <c r="H27" s="2" t="s">
        <v>133</v>
      </c>
      <c r="I27" s="11" t="s">
        <v>167</v>
      </c>
      <c r="J27" s="11" t="s">
        <v>410</v>
      </c>
      <c r="K27" s="11">
        <v>76</v>
      </c>
      <c r="L27" s="9">
        <v>46</v>
      </c>
      <c r="M27" s="11">
        <v>321</v>
      </c>
      <c r="N27" s="11" t="s">
        <v>153</v>
      </c>
      <c r="O27" s="11" t="s">
        <v>158</v>
      </c>
      <c r="Q27" s="6"/>
      <c r="R27" s="14"/>
      <c r="S27" s="15">
        <v>3.9E-2</v>
      </c>
      <c r="T27" s="11">
        <v>0.06</v>
      </c>
      <c r="U27" s="34">
        <v>2498838</v>
      </c>
      <c r="V27" s="36">
        <v>370578</v>
      </c>
      <c r="W27" s="35">
        <v>741156</v>
      </c>
      <c r="Y27" s="34">
        <v>0</v>
      </c>
      <c r="Z27" s="37"/>
      <c r="AA27" s="34">
        <v>0</v>
      </c>
      <c r="AB27" s="37"/>
      <c r="AC27" s="34">
        <v>0</v>
      </c>
      <c r="AD27" s="34">
        <v>741156</v>
      </c>
      <c r="AE27" s="34">
        <v>741156</v>
      </c>
      <c r="AF27" s="34">
        <v>104046</v>
      </c>
      <c r="AG27" s="34">
        <v>1586358</v>
      </c>
      <c r="AH27" s="17"/>
      <c r="AL27" s="24" t="s">
        <v>302</v>
      </c>
      <c r="AM27" s="8" t="s">
        <v>301</v>
      </c>
      <c r="AN27" s="8" t="s">
        <v>316</v>
      </c>
      <c r="AO27" s="8" t="s">
        <v>282</v>
      </c>
    </row>
    <row r="28" spans="1:86" x14ac:dyDescent="0.25">
      <c r="A28" s="8">
        <v>27</v>
      </c>
      <c r="B28" s="20" t="s">
        <v>126</v>
      </c>
      <c r="C28" s="33">
        <v>46100</v>
      </c>
      <c r="D28" s="20" t="s">
        <v>112</v>
      </c>
      <c r="E28" s="8" t="s">
        <v>190</v>
      </c>
      <c r="H28" s="2" t="s">
        <v>133</v>
      </c>
      <c r="I28" s="11" t="s">
        <v>167</v>
      </c>
      <c r="J28" s="11" t="s">
        <v>410</v>
      </c>
      <c r="K28" s="11">
        <v>76</v>
      </c>
      <c r="L28" s="9">
        <v>46</v>
      </c>
      <c r="M28" s="11"/>
      <c r="N28" s="11" t="s">
        <v>153</v>
      </c>
      <c r="O28" s="11" t="s">
        <v>158</v>
      </c>
      <c r="Q28" s="6"/>
      <c r="R28" s="14"/>
      <c r="S28" s="15">
        <v>3.9E-2</v>
      </c>
      <c r="T28" s="11">
        <v>0.06</v>
      </c>
      <c r="U28" s="34">
        <v>2498838</v>
      </c>
      <c r="V28" s="36">
        <v>370578</v>
      </c>
      <c r="W28" s="35">
        <v>741156</v>
      </c>
      <c r="Y28" s="34"/>
      <c r="Z28" s="37"/>
      <c r="AA28" s="34"/>
      <c r="AB28" s="37"/>
      <c r="AC28" s="34"/>
      <c r="AD28" s="34"/>
      <c r="AE28" s="34"/>
      <c r="AF28" s="34"/>
      <c r="AG28" s="34"/>
      <c r="AH28" s="17"/>
      <c r="AL28" s="24" t="s">
        <v>303</v>
      </c>
      <c r="AM28" s="8" t="s">
        <v>239</v>
      </c>
      <c r="AN28" s="8" t="s">
        <v>240</v>
      </c>
      <c r="AO28" s="8" t="s">
        <v>283</v>
      </c>
    </row>
    <row r="29" spans="1:86" x14ac:dyDescent="0.25">
      <c r="A29" s="8">
        <v>28</v>
      </c>
      <c r="B29" s="20" t="s">
        <v>126</v>
      </c>
      <c r="C29" s="33">
        <v>46100</v>
      </c>
      <c r="D29" s="20" t="s">
        <v>112</v>
      </c>
      <c r="E29" s="8" t="s">
        <v>191</v>
      </c>
      <c r="H29" s="2" t="s">
        <v>133</v>
      </c>
      <c r="I29" s="11" t="s">
        <v>167</v>
      </c>
      <c r="J29" s="11" t="s">
        <v>410</v>
      </c>
      <c r="K29" s="11">
        <v>76</v>
      </c>
      <c r="L29" s="9">
        <v>46</v>
      </c>
      <c r="M29" s="11"/>
      <c r="N29" s="11" t="s">
        <v>153</v>
      </c>
      <c r="O29" s="11" t="s">
        <v>158</v>
      </c>
      <c r="Q29" s="6"/>
      <c r="R29" s="14"/>
      <c r="S29" s="15">
        <v>3.9E-2</v>
      </c>
      <c r="T29" s="11">
        <v>0.06</v>
      </c>
      <c r="U29" s="34">
        <v>2498838</v>
      </c>
      <c r="V29" s="36">
        <v>370578</v>
      </c>
      <c r="W29" s="35">
        <v>741156</v>
      </c>
      <c r="Y29" s="34"/>
      <c r="Z29" s="37"/>
      <c r="AA29" s="34"/>
      <c r="AB29" s="37"/>
      <c r="AC29" s="34"/>
      <c r="AD29" s="34"/>
      <c r="AE29" s="34"/>
      <c r="AF29" s="34"/>
      <c r="AG29" s="34"/>
      <c r="AH29" s="17"/>
      <c r="AL29" s="24" t="s">
        <v>304</v>
      </c>
      <c r="AM29" s="8" t="s">
        <v>239</v>
      </c>
      <c r="AN29" s="8" t="s">
        <v>240</v>
      </c>
      <c r="AO29" s="8" t="s">
        <v>284</v>
      </c>
    </row>
    <row r="30" spans="1:86" x14ac:dyDescent="0.25">
      <c r="A30" s="8">
        <v>29</v>
      </c>
      <c r="B30" s="20" t="s">
        <v>126</v>
      </c>
      <c r="C30" s="33">
        <v>46100</v>
      </c>
      <c r="D30" s="20" t="s">
        <v>112</v>
      </c>
      <c r="E30" s="8" t="s">
        <v>192</v>
      </c>
      <c r="H30" s="2" t="s">
        <v>133</v>
      </c>
      <c r="I30" s="11" t="s">
        <v>167</v>
      </c>
      <c r="J30" s="11" t="s">
        <v>410</v>
      </c>
      <c r="K30" s="11">
        <v>76</v>
      </c>
      <c r="L30" s="9">
        <v>46</v>
      </c>
      <c r="M30" s="11"/>
      <c r="N30" s="11" t="s">
        <v>153</v>
      </c>
      <c r="O30" s="11" t="s">
        <v>158</v>
      </c>
      <c r="Q30" s="6"/>
      <c r="R30" s="14"/>
      <c r="S30" s="15">
        <v>3.9E-2</v>
      </c>
      <c r="T30" s="11">
        <v>0.06</v>
      </c>
      <c r="U30" s="34">
        <v>2498838</v>
      </c>
      <c r="V30" s="36">
        <v>370578</v>
      </c>
      <c r="W30" s="35">
        <v>741156</v>
      </c>
      <c r="Y30" s="34"/>
      <c r="Z30" s="37"/>
      <c r="AA30" s="34"/>
      <c r="AB30" s="37"/>
      <c r="AC30" s="34"/>
      <c r="AD30" s="34"/>
      <c r="AE30" s="34"/>
      <c r="AF30" s="34"/>
      <c r="AG30" s="34"/>
      <c r="AH30" s="17"/>
      <c r="AL30" s="24" t="s">
        <v>305</v>
      </c>
      <c r="AM30" s="8" t="s">
        <v>246</v>
      </c>
      <c r="AN30" s="8" t="s">
        <v>252</v>
      </c>
      <c r="AO30" s="8" t="s">
        <v>285</v>
      </c>
    </row>
    <row r="31" spans="1:86" x14ac:dyDescent="0.25">
      <c r="A31" s="8">
        <v>30</v>
      </c>
      <c r="B31" s="20" t="s">
        <v>126</v>
      </c>
      <c r="C31" s="33">
        <v>46100</v>
      </c>
      <c r="D31" s="20" t="s">
        <v>112</v>
      </c>
      <c r="E31" s="8" t="s">
        <v>193</v>
      </c>
      <c r="H31" s="2" t="s">
        <v>133</v>
      </c>
      <c r="I31" s="11" t="s">
        <v>167</v>
      </c>
      <c r="J31" s="11" t="s">
        <v>410</v>
      </c>
      <c r="K31" s="11">
        <v>76</v>
      </c>
      <c r="L31" s="9">
        <v>46</v>
      </c>
      <c r="M31" s="11"/>
      <c r="N31" s="11" t="s">
        <v>153</v>
      </c>
      <c r="O31" s="11" t="s">
        <v>158</v>
      </c>
      <c r="Q31" s="6"/>
      <c r="R31" s="14"/>
      <c r="S31" s="15">
        <v>3.9E-2</v>
      </c>
      <c r="T31" s="11">
        <v>0.06</v>
      </c>
      <c r="U31" s="34">
        <v>2498838</v>
      </c>
      <c r="V31" s="36">
        <v>370578</v>
      </c>
      <c r="W31" s="35">
        <v>741156</v>
      </c>
      <c r="Y31" s="34"/>
      <c r="Z31" s="37"/>
      <c r="AA31" s="34"/>
      <c r="AB31" s="37"/>
      <c r="AC31" s="34"/>
      <c r="AD31" s="34"/>
      <c r="AE31" s="34"/>
      <c r="AF31" s="34"/>
      <c r="AG31" s="34"/>
      <c r="AH31" s="17"/>
      <c r="AL31" s="24" t="s">
        <v>306</v>
      </c>
      <c r="AM31" s="8" t="s">
        <v>239</v>
      </c>
      <c r="AN31" s="8" t="s">
        <v>240</v>
      </c>
      <c r="AO31" s="8" t="s">
        <v>286</v>
      </c>
    </row>
    <row r="32" spans="1:86" x14ac:dyDescent="0.25">
      <c r="A32" s="8">
        <v>31</v>
      </c>
      <c r="B32" s="20" t="s">
        <v>126</v>
      </c>
      <c r="C32" s="33">
        <v>46100</v>
      </c>
      <c r="D32" s="20" t="s">
        <v>112</v>
      </c>
      <c r="E32" s="8" t="s">
        <v>172</v>
      </c>
      <c r="H32" s="2" t="s">
        <v>133</v>
      </c>
      <c r="I32" s="11" t="s">
        <v>167</v>
      </c>
      <c r="J32" s="11" t="s">
        <v>410</v>
      </c>
      <c r="K32" s="11">
        <v>76</v>
      </c>
      <c r="L32" s="9">
        <v>46</v>
      </c>
      <c r="M32" s="11"/>
      <c r="N32" s="11" t="s">
        <v>153</v>
      </c>
      <c r="O32" s="11" t="s">
        <v>158</v>
      </c>
      <c r="Q32" s="6"/>
      <c r="R32" s="14"/>
      <c r="S32" s="15">
        <v>3.9E-2</v>
      </c>
      <c r="T32" s="11">
        <v>0.06</v>
      </c>
      <c r="U32" s="34">
        <v>2498838</v>
      </c>
      <c r="V32" s="36">
        <v>370578</v>
      </c>
      <c r="W32" s="35">
        <v>741156</v>
      </c>
      <c r="Y32" s="34"/>
      <c r="Z32" s="37"/>
      <c r="AA32" s="34"/>
      <c r="AB32" s="37"/>
      <c r="AC32" s="34"/>
      <c r="AD32" s="34"/>
      <c r="AE32" s="34"/>
      <c r="AF32" s="34"/>
      <c r="AG32" s="34"/>
      <c r="AH32" s="17"/>
      <c r="AL32" s="24" t="s">
        <v>172</v>
      </c>
      <c r="AM32" s="8" t="s">
        <v>172</v>
      </c>
      <c r="AN32" s="8" t="s">
        <v>172</v>
      </c>
      <c r="AO32" s="8" t="s">
        <v>172</v>
      </c>
    </row>
    <row r="33" spans="1:41" x14ac:dyDescent="0.25">
      <c r="A33" s="8">
        <v>32</v>
      </c>
      <c r="B33" s="20" t="s">
        <v>126</v>
      </c>
      <c r="C33" s="33">
        <v>46100</v>
      </c>
      <c r="D33" s="20" t="s">
        <v>112</v>
      </c>
      <c r="E33" s="8" t="s">
        <v>194</v>
      </c>
      <c r="H33" s="2" t="s">
        <v>133</v>
      </c>
      <c r="I33" s="11" t="s">
        <v>167</v>
      </c>
      <c r="J33" s="11" t="s">
        <v>410</v>
      </c>
      <c r="K33" s="11">
        <v>76</v>
      </c>
      <c r="L33" s="9">
        <v>46</v>
      </c>
      <c r="M33" s="11"/>
      <c r="N33" s="11" t="s">
        <v>153</v>
      </c>
      <c r="O33" s="11" t="s">
        <v>158</v>
      </c>
      <c r="Q33" s="6"/>
      <c r="R33" s="14"/>
      <c r="S33" s="15">
        <v>3.9E-2</v>
      </c>
      <c r="T33" s="11">
        <v>0.06</v>
      </c>
      <c r="U33" s="34">
        <v>2498838</v>
      </c>
      <c r="V33" s="36">
        <v>370578</v>
      </c>
      <c r="W33" s="35">
        <v>741156</v>
      </c>
      <c r="Y33" s="34"/>
      <c r="Z33" s="37"/>
      <c r="AA33" s="34"/>
      <c r="AB33" s="37"/>
      <c r="AC33" s="34"/>
      <c r="AD33" s="34"/>
      <c r="AE33" s="34"/>
      <c r="AF33" s="34"/>
      <c r="AG33" s="34"/>
      <c r="AH33" s="17"/>
      <c r="AL33" s="24" t="s">
        <v>307</v>
      </c>
      <c r="AM33" s="8" t="s">
        <v>239</v>
      </c>
      <c r="AN33" s="8" t="s">
        <v>317</v>
      </c>
      <c r="AO33" s="8" t="s">
        <v>287</v>
      </c>
    </row>
    <row r="34" spans="1:41" x14ac:dyDescent="0.25">
      <c r="A34" s="8">
        <v>33</v>
      </c>
      <c r="B34" s="20" t="s">
        <v>126</v>
      </c>
      <c r="C34" s="33">
        <v>46100</v>
      </c>
      <c r="D34" s="20" t="s">
        <v>112</v>
      </c>
      <c r="E34" s="8" t="s">
        <v>195</v>
      </c>
      <c r="H34" s="2" t="s">
        <v>133</v>
      </c>
      <c r="I34" s="11" t="s">
        <v>167</v>
      </c>
      <c r="J34" s="11" t="s">
        <v>410</v>
      </c>
      <c r="K34" s="11">
        <v>76</v>
      </c>
      <c r="L34" s="9">
        <v>46</v>
      </c>
      <c r="M34" s="11"/>
      <c r="N34" s="11" t="s">
        <v>153</v>
      </c>
      <c r="O34" s="11" t="s">
        <v>158</v>
      </c>
      <c r="Q34" s="6"/>
      <c r="R34" s="14"/>
      <c r="S34" s="15">
        <v>3.9E-2</v>
      </c>
      <c r="T34" s="11">
        <v>0.06</v>
      </c>
      <c r="U34" s="34">
        <v>2498838</v>
      </c>
      <c r="V34" s="36">
        <v>370578</v>
      </c>
      <c r="W34" s="35">
        <v>741156</v>
      </c>
      <c r="Y34" s="34"/>
      <c r="Z34" s="37"/>
      <c r="AA34" s="34"/>
      <c r="AB34" s="37"/>
      <c r="AC34" s="34"/>
      <c r="AD34" s="34"/>
      <c r="AE34" s="34"/>
      <c r="AF34" s="34"/>
      <c r="AG34" s="34"/>
      <c r="AH34" s="17"/>
      <c r="AL34" s="24" t="s">
        <v>308</v>
      </c>
      <c r="AM34" s="8" t="s">
        <v>239</v>
      </c>
      <c r="AN34" s="8" t="s">
        <v>318</v>
      </c>
      <c r="AO34" s="8" t="s">
        <v>288</v>
      </c>
    </row>
    <row r="35" spans="1:41" x14ac:dyDescent="0.25">
      <c r="A35" s="8">
        <v>34</v>
      </c>
      <c r="B35" s="20" t="s">
        <v>126</v>
      </c>
      <c r="C35" s="33">
        <v>46100</v>
      </c>
      <c r="D35" s="20" t="s">
        <v>112</v>
      </c>
      <c r="E35" s="8" t="s">
        <v>196</v>
      </c>
      <c r="H35" s="2" t="s">
        <v>133</v>
      </c>
      <c r="I35" s="11" t="s">
        <v>167</v>
      </c>
      <c r="J35" s="11" t="s">
        <v>410</v>
      </c>
      <c r="K35" s="11">
        <v>76</v>
      </c>
      <c r="L35" s="9">
        <v>46</v>
      </c>
      <c r="M35" s="11"/>
      <c r="N35" s="11" t="s">
        <v>153</v>
      </c>
      <c r="O35" s="11" t="s">
        <v>158</v>
      </c>
      <c r="Q35" s="6"/>
      <c r="R35" s="14"/>
      <c r="S35" s="15">
        <v>3.9E-2</v>
      </c>
      <c r="T35" s="11">
        <v>0.06</v>
      </c>
      <c r="U35" s="34">
        <v>2498838</v>
      </c>
      <c r="V35" s="36">
        <v>370578</v>
      </c>
      <c r="W35" s="35">
        <v>741156</v>
      </c>
      <c r="Y35" s="34"/>
      <c r="Z35" s="37"/>
      <c r="AA35" s="34"/>
      <c r="AB35" s="37"/>
      <c r="AC35" s="34"/>
      <c r="AD35" s="34"/>
      <c r="AE35" s="34"/>
      <c r="AF35" s="34"/>
      <c r="AG35" s="34"/>
      <c r="AH35" s="17"/>
      <c r="AL35" s="24" t="s">
        <v>309</v>
      </c>
      <c r="AM35" s="8" t="s">
        <v>251</v>
      </c>
      <c r="AN35" s="8" t="s">
        <v>254</v>
      </c>
      <c r="AO35" s="8" t="s">
        <v>289</v>
      </c>
    </row>
    <row r="36" spans="1:41" x14ac:dyDescent="0.25">
      <c r="A36" s="8">
        <v>35</v>
      </c>
      <c r="B36" s="20" t="s">
        <v>126</v>
      </c>
      <c r="C36" s="33">
        <v>46100</v>
      </c>
      <c r="D36" s="20" t="s">
        <v>112</v>
      </c>
      <c r="E36" s="8" t="s">
        <v>197</v>
      </c>
      <c r="H36" s="2" t="s">
        <v>133</v>
      </c>
      <c r="I36" s="11" t="s">
        <v>167</v>
      </c>
      <c r="J36" s="11" t="s">
        <v>410</v>
      </c>
      <c r="K36" s="11">
        <v>76</v>
      </c>
      <c r="L36" s="9">
        <v>46</v>
      </c>
      <c r="M36" s="11"/>
      <c r="N36" s="11" t="s">
        <v>153</v>
      </c>
      <c r="O36" s="11" t="s">
        <v>158</v>
      </c>
      <c r="Q36" s="6"/>
      <c r="R36" s="14"/>
      <c r="S36" s="15">
        <v>3.9E-2</v>
      </c>
      <c r="T36" s="11">
        <v>0.06</v>
      </c>
      <c r="U36" s="34">
        <v>2498838</v>
      </c>
      <c r="V36" s="36">
        <v>370578</v>
      </c>
      <c r="W36" s="35">
        <v>741156</v>
      </c>
      <c r="Y36" s="34"/>
      <c r="Z36" s="37"/>
      <c r="AA36" s="34"/>
      <c r="AB36" s="37"/>
      <c r="AC36" s="34"/>
      <c r="AD36" s="34"/>
      <c r="AE36" s="34"/>
      <c r="AF36" s="34"/>
      <c r="AG36" s="34"/>
      <c r="AH36" s="17"/>
      <c r="AL36" s="24" t="s">
        <v>310</v>
      </c>
      <c r="AM36" s="8" t="s">
        <v>246</v>
      </c>
      <c r="AN36" s="8" t="s">
        <v>252</v>
      </c>
      <c r="AO36" s="8" t="s">
        <v>290</v>
      </c>
    </row>
    <row r="37" spans="1:41" x14ac:dyDescent="0.25">
      <c r="A37" s="8">
        <v>36</v>
      </c>
      <c r="B37" s="20" t="s">
        <v>126</v>
      </c>
      <c r="C37" s="33">
        <v>46100</v>
      </c>
      <c r="D37" s="20" t="s">
        <v>112</v>
      </c>
      <c r="E37" s="8" t="s">
        <v>198</v>
      </c>
      <c r="H37" s="2" t="s">
        <v>133</v>
      </c>
      <c r="I37" s="11" t="s">
        <v>167</v>
      </c>
      <c r="J37" s="11" t="s">
        <v>410</v>
      </c>
      <c r="K37" s="11">
        <v>76</v>
      </c>
      <c r="L37" s="9">
        <v>46</v>
      </c>
      <c r="M37" s="11"/>
      <c r="N37" s="11" t="s">
        <v>153</v>
      </c>
      <c r="O37" s="11" t="s">
        <v>158</v>
      </c>
      <c r="Q37" s="6"/>
      <c r="R37" s="14"/>
      <c r="S37" s="15">
        <v>3.9E-2</v>
      </c>
      <c r="T37" s="11">
        <v>0.06</v>
      </c>
      <c r="U37" s="34">
        <v>2498838</v>
      </c>
      <c r="V37" s="36">
        <v>370578</v>
      </c>
      <c r="W37" s="35">
        <v>741156</v>
      </c>
      <c r="Y37" s="34"/>
      <c r="Z37" s="37"/>
      <c r="AA37" s="34"/>
      <c r="AB37" s="37"/>
      <c r="AC37" s="34"/>
      <c r="AD37" s="34"/>
      <c r="AE37" s="34"/>
      <c r="AF37" s="34"/>
      <c r="AG37" s="34"/>
      <c r="AH37" s="17"/>
      <c r="AL37" s="24" t="s">
        <v>311</v>
      </c>
      <c r="AM37" s="8" t="s">
        <v>239</v>
      </c>
      <c r="AN37" s="8" t="s">
        <v>240</v>
      </c>
      <c r="AO37" s="8" t="s">
        <v>291</v>
      </c>
    </row>
    <row r="38" spans="1:41" x14ac:dyDescent="0.25">
      <c r="A38" s="8">
        <v>37</v>
      </c>
      <c r="B38" s="20" t="s">
        <v>126</v>
      </c>
      <c r="C38" s="33">
        <v>46100</v>
      </c>
      <c r="D38" s="20" t="s">
        <v>112</v>
      </c>
      <c r="E38" s="8" t="s">
        <v>199</v>
      </c>
      <c r="H38" s="2" t="s">
        <v>133</v>
      </c>
      <c r="I38" s="11" t="s">
        <v>167</v>
      </c>
      <c r="J38" s="11" t="s">
        <v>410</v>
      </c>
      <c r="K38" s="11">
        <v>76</v>
      </c>
      <c r="L38" s="9">
        <v>46</v>
      </c>
      <c r="M38" s="11"/>
      <c r="N38" s="11" t="s">
        <v>153</v>
      </c>
      <c r="O38" s="11" t="s">
        <v>158</v>
      </c>
      <c r="Q38" s="6"/>
      <c r="R38" s="14"/>
      <c r="S38" s="15">
        <v>3.9E-2</v>
      </c>
      <c r="T38" s="11">
        <v>0.06</v>
      </c>
      <c r="U38" s="34">
        <v>2498838</v>
      </c>
      <c r="V38" s="36">
        <v>370578</v>
      </c>
      <c r="W38" s="35">
        <v>741156</v>
      </c>
      <c r="Y38" s="34"/>
      <c r="Z38" s="37"/>
      <c r="AA38" s="34"/>
      <c r="AB38" s="37"/>
      <c r="AC38" s="34"/>
      <c r="AD38" s="34"/>
      <c r="AE38" s="34"/>
      <c r="AF38" s="34"/>
      <c r="AG38" s="34"/>
      <c r="AH38" s="17"/>
      <c r="AL38" s="24" t="s">
        <v>312</v>
      </c>
      <c r="AM38" s="8" t="s">
        <v>299</v>
      </c>
      <c r="AN38" s="8" t="s">
        <v>315</v>
      </c>
    </row>
    <row r="39" spans="1:41" x14ac:dyDescent="0.25">
      <c r="A39" s="8">
        <v>38</v>
      </c>
      <c r="B39" s="20" t="s">
        <v>126</v>
      </c>
      <c r="C39" s="33">
        <v>46100</v>
      </c>
      <c r="D39" s="20" t="s">
        <v>112</v>
      </c>
      <c r="E39" s="8" t="s">
        <v>200</v>
      </c>
      <c r="H39" s="2" t="s">
        <v>133</v>
      </c>
      <c r="I39" s="11" t="s">
        <v>167</v>
      </c>
      <c r="J39" s="11" t="s">
        <v>410</v>
      </c>
      <c r="K39" s="11">
        <v>76</v>
      </c>
      <c r="L39" s="9">
        <v>46</v>
      </c>
      <c r="M39" s="11"/>
      <c r="N39" s="11" t="s">
        <v>153</v>
      </c>
      <c r="O39" s="11" t="s">
        <v>158</v>
      </c>
      <c r="Q39" s="6"/>
      <c r="R39" s="14"/>
      <c r="S39" s="15">
        <v>3.9E-2</v>
      </c>
      <c r="T39" s="11">
        <v>0.06</v>
      </c>
      <c r="U39" s="34">
        <v>2498838</v>
      </c>
      <c r="V39" s="36">
        <v>370578</v>
      </c>
      <c r="W39" s="35">
        <v>741156</v>
      </c>
      <c r="Y39" s="34"/>
      <c r="Z39" s="37"/>
      <c r="AA39" s="34"/>
      <c r="AB39" s="37"/>
      <c r="AC39" s="34"/>
      <c r="AD39" s="34"/>
      <c r="AE39" s="34"/>
      <c r="AF39" s="34"/>
      <c r="AG39" s="34"/>
      <c r="AH39" s="17"/>
      <c r="AL39" s="24" t="s">
        <v>313</v>
      </c>
      <c r="AM39" s="8" t="s">
        <v>239</v>
      </c>
      <c r="AN39" s="8" t="s">
        <v>240</v>
      </c>
      <c r="AO39" s="8" t="s">
        <v>292</v>
      </c>
    </row>
    <row r="40" spans="1:41" x14ac:dyDescent="0.25">
      <c r="A40" s="8">
        <v>39</v>
      </c>
      <c r="B40" s="11" t="s">
        <v>127</v>
      </c>
      <c r="C40" s="33">
        <v>46100</v>
      </c>
      <c r="D40" s="23" t="s">
        <v>113</v>
      </c>
      <c r="E40" s="8" t="s">
        <v>201</v>
      </c>
      <c r="H40" s="2" t="s">
        <v>133</v>
      </c>
      <c r="I40" s="11" t="s">
        <v>167</v>
      </c>
      <c r="J40" s="11" t="s">
        <v>410</v>
      </c>
      <c r="K40" s="11">
        <v>76</v>
      </c>
      <c r="L40" s="11" t="s">
        <v>102</v>
      </c>
      <c r="M40" s="11" t="s">
        <v>145</v>
      </c>
      <c r="N40" s="11" t="s">
        <v>155</v>
      </c>
      <c r="O40" s="13" t="s">
        <v>160</v>
      </c>
      <c r="Q40" s="6"/>
      <c r="R40" s="14"/>
      <c r="S40" s="15">
        <v>0.19900000000000001</v>
      </c>
      <c r="T40" s="15">
        <v>8.0500000000000002E-2</v>
      </c>
      <c r="U40" s="34">
        <v>2303422</v>
      </c>
      <c r="V40" s="36">
        <v>458381</v>
      </c>
      <c r="W40" s="35">
        <v>916762</v>
      </c>
      <c r="Y40" s="34">
        <v>75364</v>
      </c>
      <c r="Z40" s="37"/>
      <c r="AA40" s="34">
        <v>0</v>
      </c>
      <c r="AB40" s="37"/>
      <c r="AC40" s="34">
        <v>0</v>
      </c>
      <c r="AD40" s="34">
        <v>992126</v>
      </c>
      <c r="AE40" s="34">
        <v>992126</v>
      </c>
      <c r="AF40" s="34">
        <v>128698</v>
      </c>
      <c r="AG40" s="34">
        <v>2112950</v>
      </c>
      <c r="AH40" s="17"/>
      <c r="AL40" s="24" t="s">
        <v>320</v>
      </c>
      <c r="AM40" s="8" t="s">
        <v>239</v>
      </c>
      <c r="AN40" s="8" t="s">
        <v>240</v>
      </c>
      <c r="AO40" s="8" t="s">
        <v>319</v>
      </c>
    </row>
    <row r="41" spans="1:41" x14ac:dyDescent="0.25">
      <c r="A41" s="8">
        <v>40</v>
      </c>
      <c r="B41" s="9" t="s">
        <v>128</v>
      </c>
      <c r="C41" s="33">
        <v>46100</v>
      </c>
      <c r="D41" s="10" t="s">
        <v>114</v>
      </c>
      <c r="E41" s="30" t="s">
        <v>202</v>
      </c>
      <c r="H41" s="2" t="s">
        <v>133</v>
      </c>
      <c r="I41" s="11" t="s">
        <v>167</v>
      </c>
      <c r="J41" s="11" t="s">
        <v>410</v>
      </c>
      <c r="K41" s="11">
        <v>76</v>
      </c>
      <c r="L41" s="9" t="s">
        <v>103</v>
      </c>
      <c r="M41" s="11" t="s">
        <v>146</v>
      </c>
      <c r="N41" s="11" t="s">
        <v>93</v>
      </c>
      <c r="O41" s="13" t="s">
        <v>157</v>
      </c>
      <c r="Q41" s="6"/>
      <c r="R41" s="14"/>
      <c r="S41" s="15">
        <v>9.9000000000000008E-3</v>
      </c>
      <c r="T41" s="15">
        <v>4.0000000000000001E-3</v>
      </c>
      <c r="U41" s="34">
        <v>2951781</v>
      </c>
      <c r="V41" s="36">
        <v>29223</v>
      </c>
      <c r="W41" s="35">
        <v>58446</v>
      </c>
      <c r="Y41" s="34">
        <v>0</v>
      </c>
      <c r="Z41" s="37"/>
      <c r="AA41" s="34">
        <v>0</v>
      </c>
      <c r="AB41" s="37"/>
      <c r="AC41" s="34">
        <v>0</v>
      </c>
      <c r="AD41" s="34">
        <v>58446</v>
      </c>
      <c r="AE41" s="34">
        <v>58446</v>
      </c>
      <c r="AF41" s="34">
        <v>8205</v>
      </c>
      <c r="AG41" s="34">
        <v>125097</v>
      </c>
      <c r="AL41" s="18" t="s">
        <v>322</v>
      </c>
      <c r="AM41" s="19" t="s">
        <v>239</v>
      </c>
      <c r="AN41" s="19" t="s">
        <v>240</v>
      </c>
      <c r="AO41" s="19" t="s">
        <v>321</v>
      </c>
    </row>
    <row r="42" spans="1:41" x14ac:dyDescent="0.25">
      <c r="A42" s="8">
        <v>41</v>
      </c>
      <c r="B42" s="20" t="s">
        <v>128</v>
      </c>
      <c r="C42" s="33">
        <v>46100</v>
      </c>
      <c r="D42" s="20" t="s">
        <v>114</v>
      </c>
      <c r="E42" s="30" t="s">
        <v>202</v>
      </c>
      <c r="H42" s="2" t="s">
        <v>133</v>
      </c>
      <c r="I42" s="11" t="s">
        <v>167</v>
      </c>
      <c r="J42" s="11" t="s">
        <v>410</v>
      </c>
      <c r="K42" s="11">
        <v>76</v>
      </c>
      <c r="L42" s="9" t="s">
        <v>103</v>
      </c>
      <c r="M42" s="11">
        <v>1343</v>
      </c>
      <c r="N42" s="11" t="s">
        <v>93</v>
      </c>
      <c r="O42" s="13" t="s">
        <v>157</v>
      </c>
      <c r="Q42" s="6"/>
      <c r="R42" s="14"/>
      <c r="S42" s="15">
        <v>2.9700000000000001E-2</v>
      </c>
      <c r="T42" s="15">
        <v>1.2E-2</v>
      </c>
      <c r="U42" s="34">
        <v>2951781</v>
      </c>
      <c r="V42" s="36">
        <v>87668</v>
      </c>
      <c r="W42" s="35">
        <v>175336</v>
      </c>
      <c r="Y42" s="34">
        <v>0</v>
      </c>
      <c r="Z42" s="37"/>
      <c r="AA42" s="34">
        <v>0</v>
      </c>
      <c r="AB42" s="37"/>
      <c r="AC42" s="34">
        <v>0</v>
      </c>
      <c r="AD42" s="34">
        <v>175336</v>
      </c>
      <c r="AE42" s="34">
        <v>175336</v>
      </c>
      <c r="AF42" s="34">
        <v>24614</v>
      </c>
      <c r="AG42" s="34">
        <v>375286</v>
      </c>
      <c r="AL42" s="26"/>
      <c r="AM42" s="25"/>
      <c r="AN42" s="25"/>
      <c r="AO42" s="25"/>
    </row>
    <row r="43" spans="1:41" x14ac:dyDescent="0.25">
      <c r="A43" s="8">
        <v>42</v>
      </c>
      <c r="B43" s="20" t="s">
        <v>128</v>
      </c>
      <c r="C43" s="33">
        <v>46100</v>
      </c>
      <c r="D43" s="20" t="s">
        <v>114</v>
      </c>
      <c r="E43" s="30" t="s">
        <v>202</v>
      </c>
      <c r="H43" s="2" t="s">
        <v>133</v>
      </c>
      <c r="I43" s="11" t="s">
        <v>167</v>
      </c>
      <c r="J43" s="11" t="s">
        <v>410</v>
      </c>
      <c r="K43" s="11">
        <v>76</v>
      </c>
      <c r="L43" s="9" t="s">
        <v>103</v>
      </c>
      <c r="M43" s="11" t="s">
        <v>147</v>
      </c>
      <c r="N43" s="11" t="s">
        <v>154</v>
      </c>
      <c r="O43" s="13" t="s">
        <v>159</v>
      </c>
      <c r="Q43" s="6"/>
      <c r="R43" s="14"/>
      <c r="S43" s="15">
        <v>4.0800000000000003E-2</v>
      </c>
      <c r="T43" s="15">
        <v>1.6500000000000001E-2</v>
      </c>
      <c r="U43" s="34">
        <v>2536416</v>
      </c>
      <c r="V43" s="36">
        <v>103486</v>
      </c>
      <c r="W43" s="35">
        <v>206972</v>
      </c>
      <c r="Y43" s="34">
        <v>0</v>
      </c>
      <c r="Z43" s="37"/>
      <c r="AA43" s="34">
        <v>0</v>
      </c>
      <c r="AB43" s="37"/>
      <c r="AC43" s="34">
        <v>0</v>
      </c>
      <c r="AD43" s="34">
        <v>206972</v>
      </c>
      <c r="AE43" s="34">
        <v>206972</v>
      </c>
      <c r="AF43" s="34">
        <v>29055</v>
      </c>
      <c r="AG43" s="34">
        <v>442999</v>
      </c>
      <c r="AL43" s="26"/>
      <c r="AM43" s="25"/>
      <c r="AN43" s="25"/>
      <c r="AO43" s="25"/>
    </row>
    <row r="44" spans="1:41" x14ac:dyDescent="0.25">
      <c r="A44" s="8">
        <v>43</v>
      </c>
      <c r="B44" s="20" t="s">
        <v>128</v>
      </c>
      <c r="C44" s="33">
        <v>46100</v>
      </c>
      <c r="D44" s="20" t="s">
        <v>114</v>
      </c>
      <c r="E44" s="30" t="s">
        <v>202</v>
      </c>
      <c r="H44" s="2" t="s">
        <v>133</v>
      </c>
      <c r="I44" s="11" t="s">
        <v>167</v>
      </c>
      <c r="J44" s="11" t="s">
        <v>410</v>
      </c>
      <c r="K44" s="11">
        <v>76</v>
      </c>
      <c r="L44" s="9" t="s">
        <v>103</v>
      </c>
      <c r="M44" s="11">
        <v>1547</v>
      </c>
      <c r="N44" s="11" t="s">
        <v>154</v>
      </c>
      <c r="O44" s="13" t="s">
        <v>159</v>
      </c>
      <c r="Q44" s="6"/>
      <c r="R44" s="14"/>
      <c r="S44" s="15">
        <v>8.1500000000000003E-2</v>
      </c>
      <c r="T44" s="15">
        <v>3.3000000000000002E-2</v>
      </c>
      <c r="U44" s="34">
        <v>2536416</v>
      </c>
      <c r="V44" s="36">
        <v>206718</v>
      </c>
      <c r="W44" s="35">
        <v>413436</v>
      </c>
      <c r="Y44" s="34">
        <v>0</v>
      </c>
      <c r="Z44" s="37"/>
      <c r="AA44" s="34">
        <v>0</v>
      </c>
      <c r="AB44" s="37"/>
      <c r="AC44" s="34">
        <v>0</v>
      </c>
      <c r="AD44" s="34">
        <v>413436</v>
      </c>
      <c r="AE44" s="34">
        <v>413436</v>
      </c>
      <c r="AF44" s="34">
        <v>58040</v>
      </c>
      <c r="AG44" s="34">
        <v>884912</v>
      </c>
      <c r="AL44" s="26"/>
      <c r="AM44" s="25"/>
      <c r="AN44" s="25"/>
      <c r="AO44" s="25"/>
    </row>
    <row r="45" spans="1:41" x14ac:dyDescent="0.25">
      <c r="A45" s="8">
        <v>44</v>
      </c>
      <c r="B45" s="20" t="s">
        <v>128</v>
      </c>
      <c r="C45" s="33">
        <v>46100</v>
      </c>
      <c r="D45" s="20" t="s">
        <v>114</v>
      </c>
      <c r="E45" s="30" t="s">
        <v>202</v>
      </c>
      <c r="H45" s="2" t="s">
        <v>133</v>
      </c>
      <c r="I45" s="11" t="s">
        <v>167</v>
      </c>
      <c r="J45" s="11" t="s">
        <v>410</v>
      </c>
      <c r="K45" s="11">
        <v>76</v>
      </c>
      <c r="L45" s="9" t="s">
        <v>103</v>
      </c>
      <c r="M45" s="11" t="s">
        <v>148</v>
      </c>
      <c r="N45" s="11" t="s">
        <v>155</v>
      </c>
      <c r="O45" s="13" t="s">
        <v>160</v>
      </c>
      <c r="Q45" s="6"/>
      <c r="R45" s="14"/>
      <c r="S45" s="15">
        <v>6.3E-2</v>
      </c>
      <c r="T45" s="15">
        <v>2.5499999999999998E-2</v>
      </c>
      <c r="U45" s="34">
        <v>2303422</v>
      </c>
      <c r="V45" s="36">
        <v>145116</v>
      </c>
      <c r="W45" s="35">
        <v>290232</v>
      </c>
      <c r="Y45" s="34">
        <v>0</v>
      </c>
      <c r="Z45" s="37"/>
      <c r="AA45" s="34">
        <v>0</v>
      </c>
      <c r="AB45" s="37"/>
      <c r="AC45" s="34">
        <v>0</v>
      </c>
      <c r="AD45" s="34">
        <v>290232</v>
      </c>
      <c r="AE45" s="34">
        <v>290232</v>
      </c>
      <c r="AF45" s="34">
        <v>40744</v>
      </c>
      <c r="AG45" s="34">
        <v>621208</v>
      </c>
      <c r="AL45" s="26"/>
      <c r="AM45" s="25"/>
      <c r="AN45" s="25"/>
      <c r="AO45" s="25"/>
    </row>
    <row r="46" spans="1:41" x14ac:dyDescent="0.25">
      <c r="A46" s="8">
        <v>45</v>
      </c>
      <c r="B46" s="20" t="s">
        <v>128</v>
      </c>
      <c r="C46" s="33">
        <v>46100</v>
      </c>
      <c r="D46" s="20" t="s">
        <v>114</v>
      </c>
      <c r="E46" s="30" t="s">
        <v>202</v>
      </c>
      <c r="H46" s="2" t="s">
        <v>133</v>
      </c>
      <c r="I46" s="11" t="s">
        <v>167</v>
      </c>
      <c r="J46" s="11" t="s">
        <v>410</v>
      </c>
      <c r="K46" s="11">
        <v>76</v>
      </c>
      <c r="L46" s="9" t="s">
        <v>103</v>
      </c>
      <c r="M46" s="11" t="s">
        <v>149</v>
      </c>
      <c r="N46" s="11" t="s">
        <v>153</v>
      </c>
      <c r="O46" s="13" t="s">
        <v>158</v>
      </c>
      <c r="Q46" s="6"/>
      <c r="R46" s="14"/>
      <c r="S46" s="15">
        <v>0.105</v>
      </c>
      <c r="T46" s="15">
        <v>4.2500000000000003E-2</v>
      </c>
      <c r="U46" s="34">
        <v>2498838</v>
      </c>
      <c r="V46" s="36">
        <v>262378</v>
      </c>
      <c r="W46" s="35">
        <v>524756</v>
      </c>
      <c r="Y46" s="34">
        <v>0</v>
      </c>
      <c r="Z46" s="37"/>
      <c r="AA46" s="34">
        <v>0</v>
      </c>
      <c r="AB46" s="37"/>
      <c r="AC46" s="34">
        <v>0</v>
      </c>
      <c r="AD46" s="34">
        <v>524756</v>
      </c>
      <c r="AE46" s="34">
        <v>524756</v>
      </c>
      <c r="AF46" s="34">
        <v>73667</v>
      </c>
      <c r="AG46" s="34">
        <v>1123179</v>
      </c>
      <c r="AL46" s="26"/>
      <c r="AM46" s="25"/>
      <c r="AN46" s="25"/>
      <c r="AO46" s="25"/>
    </row>
    <row r="47" spans="1:41" x14ac:dyDescent="0.25">
      <c r="A47" s="8">
        <v>46</v>
      </c>
      <c r="B47" s="20" t="s">
        <v>128</v>
      </c>
      <c r="C47" s="33">
        <v>46100</v>
      </c>
      <c r="D47" s="20" t="s">
        <v>114</v>
      </c>
      <c r="E47" s="30" t="s">
        <v>202</v>
      </c>
      <c r="H47" s="2" t="s">
        <v>133</v>
      </c>
      <c r="I47" s="11" t="s">
        <v>167</v>
      </c>
      <c r="J47" s="11" t="s">
        <v>410</v>
      </c>
      <c r="K47" s="11">
        <v>76</v>
      </c>
      <c r="L47" s="9" t="s">
        <v>103</v>
      </c>
      <c r="M47" s="11" t="s">
        <v>150</v>
      </c>
      <c r="N47" s="11" t="s">
        <v>94</v>
      </c>
      <c r="O47" s="13" t="s">
        <v>160</v>
      </c>
      <c r="Q47" s="6"/>
      <c r="R47" s="14"/>
      <c r="S47" s="15">
        <v>1.8499999999999999E-2</v>
      </c>
      <c r="T47" s="15">
        <v>7.4999999999999997E-3</v>
      </c>
      <c r="U47" s="34">
        <v>2303422</v>
      </c>
      <c r="V47" s="36">
        <v>42613</v>
      </c>
      <c r="W47" s="35">
        <v>85226</v>
      </c>
      <c r="Y47" s="34">
        <v>0</v>
      </c>
      <c r="Z47" s="37"/>
      <c r="AA47" s="34">
        <v>0</v>
      </c>
      <c r="AB47" s="37"/>
      <c r="AC47" s="34">
        <v>0</v>
      </c>
      <c r="AD47" s="34">
        <v>85226</v>
      </c>
      <c r="AE47" s="34">
        <v>85226</v>
      </c>
      <c r="AF47" s="34">
        <v>11964</v>
      </c>
      <c r="AG47" s="34">
        <v>182416</v>
      </c>
      <c r="AL47" s="26"/>
      <c r="AM47" s="25"/>
      <c r="AN47" s="25"/>
      <c r="AO47" s="25"/>
    </row>
    <row r="48" spans="1:41" x14ac:dyDescent="0.25">
      <c r="A48" s="8">
        <v>47</v>
      </c>
      <c r="B48" s="20" t="s">
        <v>128</v>
      </c>
      <c r="C48" s="33">
        <v>46100</v>
      </c>
      <c r="D48" s="20" t="s">
        <v>114</v>
      </c>
      <c r="E48" s="30" t="s">
        <v>202</v>
      </c>
      <c r="H48" s="2" t="s">
        <v>133</v>
      </c>
      <c r="I48" s="11" t="s">
        <v>167</v>
      </c>
      <c r="J48" s="11" t="s">
        <v>410</v>
      </c>
      <c r="K48" s="11">
        <v>76</v>
      </c>
      <c r="L48" s="9" t="s">
        <v>103</v>
      </c>
      <c r="M48" s="11" t="s">
        <v>151</v>
      </c>
      <c r="N48" s="11" t="s">
        <v>156</v>
      </c>
      <c r="O48" s="11" t="s">
        <v>159</v>
      </c>
      <c r="Q48" s="6"/>
      <c r="R48" s="14"/>
      <c r="S48" s="15">
        <v>5.1900000000000002E-2</v>
      </c>
      <c r="T48" s="11">
        <v>2.1000000000000001E-2</v>
      </c>
      <c r="U48" s="34">
        <v>2536416</v>
      </c>
      <c r="V48" s="36">
        <v>131640</v>
      </c>
      <c r="W48" s="35">
        <v>263280</v>
      </c>
      <c r="Y48" s="34">
        <v>0</v>
      </c>
      <c r="Z48" s="37"/>
      <c r="AA48" s="34">
        <v>0</v>
      </c>
      <c r="AB48" s="37"/>
      <c r="AC48" s="34">
        <v>0</v>
      </c>
      <c r="AD48" s="34">
        <v>263280</v>
      </c>
      <c r="AE48" s="34">
        <v>263280</v>
      </c>
      <c r="AF48" s="34">
        <v>36960</v>
      </c>
      <c r="AG48" s="34">
        <v>563520</v>
      </c>
      <c r="AL48" s="26"/>
      <c r="AM48" s="25"/>
      <c r="AN48" s="25"/>
      <c r="AO48" s="25"/>
    </row>
    <row r="49" spans="1:59" x14ac:dyDescent="0.25">
      <c r="A49" s="8">
        <v>48</v>
      </c>
      <c r="B49" s="20" t="s">
        <v>128</v>
      </c>
      <c r="C49" s="33">
        <v>46100</v>
      </c>
      <c r="D49" s="20" t="s">
        <v>114</v>
      </c>
      <c r="E49" s="30" t="s">
        <v>202</v>
      </c>
      <c r="H49" s="2" t="s">
        <v>133</v>
      </c>
      <c r="I49" s="11" t="s">
        <v>167</v>
      </c>
      <c r="J49" s="11" t="s">
        <v>410</v>
      </c>
      <c r="K49" s="11">
        <v>76</v>
      </c>
      <c r="L49" s="9" t="s">
        <v>103</v>
      </c>
      <c r="M49" s="11">
        <v>2608</v>
      </c>
      <c r="N49" s="11" t="s">
        <v>154</v>
      </c>
      <c r="O49" s="11" t="s">
        <v>159</v>
      </c>
      <c r="Q49" s="6"/>
      <c r="R49" s="14"/>
      <c r="S49" s="32">
        <f>ROUND(T49*2.471054,4)</f>
        <v>8.5000000000000006E-2</v>
      </c>
      <c r="T49" s="11">
        <v>3.44E-2</v>
      </c>
      <c r="U49" s="34">
        <v>2536416</v>
      </c>
      <c r="V49" s="36">
        <v>215595</v>
      </c>
      <c r="W49" s="35">
        <v>431190</v>
      </c>
      <c r="Y49" s="34">
        <v>0</v>
      </c>
      <c r="Z49" s="37"/>
      <c r="AA49" s="34">
        <v>0</v>
      </c>
      <c r="AB49" s="37"/>
      <c r="AC49" s="34">
        <v>0</v>
      </c>
      <c r="AD49" s="34">
        <v>431190</v>
      </c>
      <c r="AE49" s="34">
        <v>431190</v>
      </c>
      <c r="AF49" s="34">
        <v>60532</v>
      </c>
      <c r="AG49" s="34">
        <v>922912</v>
      </c>
      <c r="AL49" s="21"/>
      <c r="AM49" s="22"/>
      <c r="AN49" s="22"/>
      <c r="AO49" s="22"/>
    </row>
    <row r="50" spans="1:59" ht="75" customHeight="1" x14ac:dyDescent="0.25">
      <c r="A50" s="8">
        <v>49</v>
      </c>
      <c r="B50" s="9" t="s">
        <v>129</v>
      </c>
      <c r="C50" s="33">
        <v>46100</v>
      </c>
      <c r="D50" s="10" t="s">
        <v>115</v>
      </c>
      <c r="E50" s="8" t="s">
        <v>203</v>
      </c>
      <c r="H50" s="2" t="s">
        <v>133</v>
      </c>
      <c r="I50" s="11" t="s">
        <v>167</v>
      </c>
      <c r="J50" s="11" t="s">
        <v>410</v>
      </c>
      <c r="K50" s="11">
        <v>76</v>
      </c>
      <c r="L50" s="9">
        <v>145</v>
      </c>
      <c r="M50" s="11">
        <v>166</v>
      </c>
      <c r="N50" s="11" t="s">
        <v>152</v>
      </c>
      <c r="O50" s="11" t="s">
        <v>158</v>
      </c>
      <c r="Q50" s="6"/>
      <c r="R50" s="14"/>
      <c r="S50" s="15">
        <f>ROUND(T50*2.471054,4)</f>
        <v>1.8594999999999999</v>
      </c>
      <c r="T50" s="11">
        <v>0.75249999999999995</v>
      </c>
      <c r="U50" s="34">
        <v>2498838</v>
      </c>
      <c r="V50" s="36">
        <v>4646589</v>
      </c>
      <c r="W50" s="35">
        <v>9293178</v>
      </c>
      <c r="Y50" s="34">
        <v>0</v>
      </c>
      <c r="Z50" s="37"/>
      <c r="AA50" s="34">
        <v>0</v>
      </c>
      <c r="AB50" s="37"/>
      <c r="AC50" s="34">
        <v>0</v>
      </c>
      <c r="AD50" s="34">
        <v>9293178</v>
      </c>
      <c r="AE50" s="34">
        <v>9293178</v>
      </c>
      <c r="AF50" s="34">
        <v>1304609</v>
      </c>
      <c r="AG50" s="34">
        <v>19890965</v>
      </c>
      <c r="AL50" s="24" t="s">
        <v>347</v>
      </c>
      <c r="AM50" s="8" t="s">
        <v>239</v>
      </c>
      <c r="AN50" s="8" t="s">
        <v>240</v>
      </c>
      <c r="AO50" s="8" t="s">
        <v>323</v>
      </c>
    </row>
    <row r="51" spans="1:59" x14ac:dyDescent="0.25">
      <c r="A51" s="8">
        <v>50</v>
      </c>
      <c r="B51" s="20" t="s">
        <v>129</v>
      </c>
      <c r="C51" s="33">
        <v>46100</v>
      </c>
      <c r="D51" s="20" t="s">
        <v>115</v>
      </c>
      <c r="E51" s="8" t="s">
        <v>204</v>
      </c>
      <c r="H51" s="2" t="s">
        <v>133</v>
      </c>
      <c r="I51" s="11" t="s">
        <v>167</v>
      </c>
      <c r="J51" s="11" t="s">
        <v>410</v>
      </c>
      <c r="K51" s="11">
        <v>76</v>
      </c>
      <c r="L51" s="9">
        <v>145</v>
      </c>
      <c r="M51" s="11"/>
      <c r="N51" s="11"/>
      <c r="O51" s="11"/>
      <c r="Q51" s="6"/>
      <c r="R51" s="14"/>
      <c r="S51" s="15">
        <f>ROUND(T51*2.471054,4)</f>
        <v>0.69440000000000002</v>
      </c>
      <c r="T51" s="11">
        <v>0.28100000000000003</v>
      </c>
      <c r="U51" s="34">
        <v>2498838</v>
      </c>
      <c r="V51" s="36">
        <v>1735193</v>
      </c>
      <c r="W51" s="35">
        <v>3470386</v>
      </c>
      <c r="Y51" s="34"/>
      <c r="Z51" s="37"/>
      <c r="AA51" s="34"/>
      <c r="AB51" s="37"/>
      <c r="AC51" s="34"/>
      <c r="AD51" s="34"/>
      <c r="AE51" s="34"/>
      <c r="AF51" s="34"/>
      <c r="AG51" s="34"/>
      <c r="AL51" s="24" t="s">
        <v>348</v>
      </c>
      <c r="AM51" s="8" t="s">
        <v>239</v>
      </c>
      <c r="AN51" s="8" t="s">
        <v>240</v>
      </c>
      <c r="AO51" s="8" t="s">
        <v>324</v>
      </c>
      <c r="BG51" s="43" t="s">
        <v>451</v>
      </c>
    </row>
    <row r="52" spans="1:59" x14ac:dyDescent="0.25">
      <c r="A52" s="8">
        <v>51</v>
      </c>
      <c r="B52" s="20" t="s">
        <v>129</v>
      </c>
      <c r="C52" s="33">
        <v>46100</v>
      </c>
      <c r="D52" s="20" t="s">
        <v>115</v>
      </c>
      <c r="E52" s="8" t="s">
        <v>169</v>
      </c>
      <c r="H52" s="2" t="s">
        <v>133</v>
      </c>
      <c r="I52" s="11" t="s">
        <v>167</v>
      </c>
      <c r="J52" s="11" t="s">
        <v>410</v>
      </c>
      <c r="K52" s="11">
        <v>76</v>
      </c>
      <c r="L52" s="9">
        <v>145</v>
      </c>
      <c r="M52" s="11">
        <v>200</v>
      </c>
      <c r="N52" s="11" t="s">
        <v>152</v>
      </c>
      <c r="O52" s="11" t="s">
        <v>158</v>
      </c>
      <c r="Q52" s="6"/>
      <c r="R52" s="14"/>
      <c r="S52" s="31"/>
      <c r="T52" s="11"/>
      <c r="U52" s="7"/>
      <c r="V52" s="36"/>
      <c r="W52" s="35"/>
      <c r="Y52" s="34">
        <v>0</v>
      </c>
      <c r="Z52" s="37"/>
      <c r="AA52" s="34">
        <v>0</v>
      </c>
      <c r="AB52" s="37"/>
      <c r="AC52" s="34">
        <v>0</v>
      </c>
      <c r="AD52" s="34">
        <v>3470386</v>
      </c>
      <c r="AE52" s="34">
        <v>3470386</v>
      </c>
      <c r="AF52" s="34">
        <v>487185</v>
      </c>
      <c r="AG52" s="34">
        <v>7427957</v>
      </c>
      <c r="AL52" s="24" t="s">
        <v>349</v>
      </c>
      <c r="AM52" s="8" t="s">
        <v>239</v>
      </c>
      <c r="AN52" s="8" t="s">
        <v>240</v>
      </c>
      <c r="AO52" s="8" t="s">
        <v>325</v>
      </c>
      <c r="BG52" s="43" t="s">
        <v>451</v>
      </c>
    </row>
    <row r="53" spans="1:59" x14ac:dyDescent="0.25">
      <c r="A53" s="8">
        <v>52</v>
      </c>
      <c r="B53" s="20" t="s">
        <v>129</v>
      </c>
      <c r="C53" s="33">
        <v>46100</v>
      </c>
      <c r="D53" s="20" t="s">
        <v>115</v>
      </c>
      <c r="E53" s="8" t="s">
        <v>172</v>
      </c>
      <c r="H53" s="2" t="s">
        <v>133</v>
      </c>
      <c r="I53" s="11" t="s">
        <v>167</v>
      </c>
      <c r="J53" s="11" t="s">
        <v>410</v>
      </c>
      <c r="K53" s="11">
        <v>76</v>
      </c>
      <c r="L53" s="9">
        <v>145</v>
      </c>
      <c r="M53" s="11"/>
      <c r="N53" s="11"/>
      <c r="O53" s="11"/>
      <c r="Q53" s="6"/>
      <c r="R53" s="14"/>
      <c r="S53" s="15"/>
      <c r="T53" s="11"/>
      <c r="U53" s="7"/>
      <c r="V53" s="36"/>
      <c r="W53" s="35"/>
      <c r="Y53" s="34"/>
      <c r="Z53" s="37"/>
      <c r="AA53" s="34"/>
      <c r="AB53" s="37"/>
      <c r="AC53" s="34"/>
      <c r="AD53" s="34"/>
      <c r="AE53" s="34"/>
      <c r="AF53" s="34"/>
      <c r="AG53" s="34"/>
      <c r="AL53" s="24" t="s">
        <v>172</v>
      </c>
      <c r="AM53" s="8" t="s">
        <v>172</v>
      </c>
      <c r="AN53" s="8" t="s">
        <v>172</v>
      </c>
      <c r="AO53" s="8" t="s">
        <v>172</v>
      </c>
    </row>
    <row r="54" spans="1:59" x14ac:dyDescent="0.25">
      <c r="A54" s="8">
        <v>53</v>
      </c>
      <c r="B54" s="20" t="s">
        <v>129</v>
      </c>
      <c r="C54" s="33">
        <v>46100</v>
      </c>
      <c r="D54" s="20" t="s">
        <v>115</v>
      </c>
      <c r="E54" s="8" t="s">
        <v>172</v>
      </c>
      <c r="H54" s="2" t="s">
        <v>133</v>
      </c>
      <c r="I54" s="11" t="s">
        <v>167</v>
      </c>
      <c r="J54" s="11" t="s">
        <v>410</v>
      </c>
      <c r="K54" s="11">
        <v>76</v>
      </c>
      <c r="L54" s="9">
        <v>145</v>
      </c>
      <c r="M54" s="11"/>
      <c r="N54" s="11"/>
      <c r="O54" s="11"/>
      <c r="Q54" s="6"/>
      <c r="R54" s="14"/>
      <c r="S54" s="15"/>
      <c r="T54" s="11"/>
      <c r="U54" s="7"/>
      <c r="V54" s="36"/>
      <c r="W54" s="35"/>
      <c r="Y54" s="34"/>
      <c r="Z54" s="37"/>
      <c r="AA54" s="34"/>
      <c r="AB54" s="37"/>
      <c r="AC54" s="34"/>
      <c r="AD54" s="34"/>
      <c r="AE54" s="34"/>
      <c r="AF54" s="34"/>
      <c r="AG54" s="34"/>
      <c r="AL54" s="24" t="s">
        <v>172</v>
      </c>
      <c r="AM54" s="8" t="s">
        <v>172</v>
      </c>
      <c r="AN54" s="8" t="s">
        <v>172</v>
      </c>
      <c r="AO54" s="8" t="s">
        <v>172</v>
      </c>
    </row>
    <row r="55" spans="1:59" x14ac:dyDescent="0.25">
      <c r="A55" s="8">
        <v>54</v>
      </c>
      <c r="B55" s="20" t="s">
        <v>129</v>
      </c>
      <c r="C55" s="33">
        <v>46100</v>
      </c>
      <c r="D55" s="20" t="s">
        <v>115</v>
      </c>
      <c r="E55" s="8" t="s">
        <v>205</v>
      </c>
      <c r="H55" s="2" t="s">
        <v>133</v>
      </c>
      <c r="I55" s="11" t="s">
        <v>167</v>
      </c>
      <c r="J55" s="11" t="s">
        <v>410</v>
      </c>
      <c r="K55" s="11">
        <v>76</v>
      </c>
      <c r="L55" s="9">
        <v>145</v>
      </c>
      <c r="M55" s="11"/>
      <c r="N55" s="11"/>
      <c r="O55" s="11"/>
      <c r="Q55" s="6"/>
      <c r="R55" s="14"/>
      <c r="S55" s="15"/>
      <c r="T55" s="11"/>
      <c r="U55" s="7"/>
      <c r="V55" s="36"/>
      <c r="W55" s="35"/>
      <c r="Y55" s="34"/>
      <c r="Z55" s="37"/>
      <c r="AA55" s="34"/>
      <c r="AB55" s="37"/>
      <c r="AC55" s="34"/>
      <c r="AD55" s="34"/>
      <c r="AE55" s="34"/>
      <c r="AF55" s="34"/>
      <c r="AG55" s="34"/>
      <c r="AL55" s="24" t="s">
        <v>350</v>
      </c>
      <c r="AM55" s="8" t="s">
        <v>239</v>
      </c>
      <c r="AN55" s="8" t="s">
        <v>240</v>
      </c>
      <c r="AO55" s="8" t="s">
        <v>326</v>
      </c>
    </row>
    <row r="56" spans="1:59" x14ac:dyDescent="0.25">
      <c r="A56" s="8">
        <v>55</v>
      </c>
      <c r="B56" s="20" t="s">
        <v>129</v>
      </c>
      <c r="C56" s="33">
        <v>46100</v>
      </c>
      <c r="D56" s="20" t="s">
        <v>115</v>
      </c>
      <c r="E56" s="8" t="s">
        <v>170</v>
      </c>
      <c r="H56" s="2" t="s">
        <v>133</v>
      </c>
      <c r="I56" s="11" t="s">
        <v>167</v>
      </c>
      <c r="J56" s="11" t="s">
        <v>410</v>
      </c>
      <c r="K56" s="11">
        <v>76</v>
      </c>
      <c r="L56" s="9">
        <v>145</v>
      </c>
      <c r="M56" s="11"/>
      <c r="N56" s="11"/>
      <c r="O56" s="11"/>
      <c r="Q56" s="6"/>
      <c r="R56" s="14"/>
      <c r="S56" s="15"/>
      <c r="T56" s="11"/>
      <c r="U56" s="7"/>
      <c r="V56" s="36"/>
      <c r="W56" s="35"/>
      <c r="Y56" s="34"/>
      <c r="Z56" s="37"/>
      <c r="AA56" s="34"/>
      <c r="AB56" s="37"/>
      <c r="AC56" s="34"/>
      <c r="AD56" s="34"/>
      <c r="AE56" s="34"/>
      <c r="AF56" s="34"/>
      <c r="AG56" s="34"/>
      <c r="AL56" s="24" t="s">
        <v>351</v>
      </c>
      <c r="AM56" s="8" t="s">
        <v>239</v>
      </c>
      <c r="AN56" s="8" t="s">
        <v>240</v>
      </c>
      <c r="AO56" s="8" t="s">
        <v>327</v>
      </c>
    </row>
    <row r="57" spans="1:59" x14ac:dyDescent="0.25">
      <c r="A57" s="8">
        <v>56</v>
      </c>
      <c r="B57" s="20" t="s">
        <v>129</v>
      </c>
      <c r="C57" s="33">
        <v>46100</v>
      </c>
      <c r="D57" s="20" t="s">
        <v>115</v>
      </c>
      <c r="E57" s="8" t="s">
        <v>206</v>
      </c>
      <c r="H57" s="2" t="s">
        <v>133</v>
      </c>
      <c r="I57" s="11" t="s">
        <v>167</v>
      </c>
      <c r="J57" s="11" t="s">
        <v>410</v>
      </c>
      <c r="K57" s="11">
        <v>76</v>
      </c>
      <c r="L57" s="9">
        <v>145</v>
      </c>
      <c r="M57" s="11"/>
      <c r="N57" s="11"/>
      <c r="O57" s="11"/>
      <c r="Q57" s="6"/>
      <c r="R57" s="14"/>
      <c r="S57" s="15"/>
      <c r="T57" s="11"/>
      <c r="U57" s="7"/>
      <c r="V57" s="36"/>
      <c r="W57" s="35"/>
      <c r="Y57" s="34"/>
      <c r="Z57" s="37"/>
      <c r="AA57" s="34"/>
      <c r="AB57" s="37"/>
      <c r="AC57" s="34"/>
      <c r="AD57" s="34"/>
      <c r="AE57" s="34"/>
      <c r="AF57" s="34"/>
      <c r="AG57" s="34"/>
      <c r="AL57" s="24" t="s">
        <v>352</v>
      </c>
      <c r="AM57" s="8" t="s">
        <v>239</v>
      </c>
      <c r="AN57" s="8" t="s">
        <v>240</v>
      </c>
      <c r="AO57" s="8" t="s">
        <v>328</v>
      </c>
    </row>
    <row r="58" spans="1:59" x14ac:dyDescent="0.25">
      <c r="A58" s="8">
        <v>57</v>
      </c>
      <c r="B58" s="20" t="s">
        <v>129</v>
      </c>
      <c r="C58" s="33">
        <v>46100</v>
      </c>
      <c r="D58" s="20" t="s">
        <v>115</v>
      </c>
      <c r="E58" s="8" t="s">
        <v>207</v>
      </c>
      <c r="H58" s="2" t="s">
        <v>133</v>
      </c>
      <c r="I58" s="11" t="s">
        <v>167</v>
      </c>
      <c r="J58" s="11" t="s">
        <v>410</v>
      </c>
      <c r="K58" s="11">
        <v>76</v>
      </c>
      <c r="L58" s="9">
        <v>145</v>
      </c>
      <c r="M58" s="11"/>
      <c r="N58" s="11"/>
      <c r="O58" s="11"/>
      <c r="Q58" s="6"/>
      <c r="R58" s="14"/>
      <c r="S58" s="15"/>
      <c r="T58" s="11"/>
      <c r="U58" s="7"/>
      <c r="V58" s="36"/>
      <c r="W58" s="35"/>
      <c r="Y58" s="34"/>
      <c r="Z58" s="37"/>
      <c r="AA58" s="34"/>
      <c r="AB58" s="37"/>
      <c r="AC58" s="34"/>
      <c r="AD58" s="34"/>
      <c r="AE58" s="34"/>
      <c r="AF58" s="34"/>
      <c r="AG58" s="34"/>
      <c r="AL58" s="24" t="s">
        <v>353</v>
      </c>
      <c r="AM58" s="8" t="s">
        <v>354</v>
      </c>
      <c r="AN58" s="8" t="s">
        <v>371</v>
      </c>
      <c r="AO58" s="8" t="s">
        <v>329</v>
      </c>
    </row>
    <row r="59" spans="1:59" x14ac:dyDescent="0.25">
      <c r="A59" s="8">
        <v>58</v>
      </c>
      <c r="B59" s="20" t="s">
        <v>129</v>
      </c>
      <c r="C59" s="33">
        <v>46100</v>
      </c>
      <c r="D59" s="20" t="s">
        <v>115</v>
      </c>
      <c r="E59" s="8" t="s">
        <v>208</v>
      </c>
      <c r="H59" s="2" t="s">
        <v>133</v>
      </c>
      <c r="I59" s="11" t="s">
        <v>167</v>
      </c>
      <c r="J59" s="11" t="s">
        <v>410</v>
      </c>
      <c r="K59" s="11">
        <v>76</v>
      </c>
      <c r="L59" s="9">
        <v>145</v>
      </c>
      <c r="M59" s="11"/>
      <c r="N59" s="11"/>
      <c r="O59" s="11"/>
      <c r="Q59" s="6"/>
      <c r="R59" s="14"/>
      <c r="S59" s="15"/>
      <c r="T59" s="11"/>
      <c r="U59" s="7"/>
      <c r="V59" s="36"/>
      <c r="W59" s="35"/>
      <c r="Y59" s="34"/>
      <c r="Z59" s="37"/>
      <c r="AA59" s="34"/>
      <c r="AB59" s="37"/>
      <c r="AC59" s="34"/>
      <c r="AD59" s="34"/>
      <c r="AE59" s="34"/>
      <c r="AF59" s="34"/>
      <c r="AG59" s="34"/>
      <c r="AL59" s="24" t="s">
        <v>355</v>
      </c>
      <c r="AM59" s="8" t="s">
        <v>354</v>
      </c>
      <c r="AN59" s="8" t="s">
        <v>371</v>
      </c>
      <c r="AO59" s="8" t="s">
        <v>330</v>
      </c>
    </row>
    <row r="60" spans="1:59" x14ac:dyDescent="0.25">
      <c r="A60" s="8">
        <v>59</v>
      </c>
      <c r="B60" s="20" t="s">
        <v>129</v>
      </c>
      <c r="C60" s="33">
        <v>46100</v>
      </c>
      <c r="D60" s="20" t="s">
        <v>115</v>
      </c>
      <c r="E60" s="8" t="s">
        <v>209</v>
      </c>
      <c r="H60" s="2" t="s">
        <v>133</v>
      </c>
      <c r="I60" s="11" t="s">
        <v>167</v>
      </c>
      <c r="J60" s="11" t="s">
        <v>410</v>
      </c>
      <c r="K60" s="11">
        <v>76</v>
      </c>
      <c r="L60" s="9">
        <v>145</v>
      </c>
      <c r="M60" s="11"/>
      <c r="N60" s="11"/>
      <c r="O60" s="11"/>
      <c r="Q60" s="6"/>
      <c r="R60" s="14"/>
      <c r="S60" s="15"/>
      <c r="T60" s="11"/>
      <c r="U60" s="7"/>
      <c r="V60" s="36"/>
      <c r="W60" s="35"/>
      <c r="Y60" s="34"/>
      <c r="Z60" s="37"/>
      <c r="AA60" s="34"/>
      <c r="AB60" s="37"/>
      <c r="AC60" s="34"/>
      <c r="AD60" s="34"/>
      <c r="AE60" s="34"/>
      <c r="AF60" s="34"/>
      <c r="AG60" s="34"/>
      <c r="AL60" s="24" t="s">
        <v>356</v>
      </c>
      <c r="AM60" s="8" t="s">
        <v>354</v>
      </c>
      <c r="AN60" s="8" t="s">
        <v>371</v>
      </c>
      <c r="AO60" s="27" t="s">
        <v>331</v>
      </c>
    </row>
    <row r="61" spans="1:59" x14ac:dyDescent="0.25">
      <c r="A61" s="8">
        <v>60</v>
      </c>
      <c r="B61" s="20" t="s">
        <v>129</v>
      </c>
      <c r="C61" s="33">
        <v>46100</v>
      </c>
      <c r="D61" s="20" t="s">
        <v>115</v>
      </c>
      <c r="E61" s="8" t="s">
        <v>210</v>
      </c>
      <c r="H61" s="2" t="s">
        <v>133</v>
      </c>
      <c r="I61" s="11" t="s">
        <v>167</v>
      </c>
      <c r="J61" s="11" t="s">
        <v>410</v>
      </c>
      <c r="K61" s="11">
        <v>76</v>
      </c>
      <c r="L61" s="9">
        <v>145</v>
      </c>
      <c r="M61" s="11"/>
      <c r="N61" s="11"/>
      <c r="O61" s="11"/>
      <c r="Q61" s="6"/>
      <c r="R61" s="14"/>
      <c r="S61" s="15"/>
      <c r="T61" s="11"/>
      <c r="U61" s="7"/>
      <c r="V61" s="36"/>
      <c r="W61" s="35"/>
      <c r="Y61" s="34"/>
      <c r="Z61" s="37"/>
      <c r="AA61" s="34"/>
      <c r="AB61" s="37"/>
      <c r="AC61" s="34"/>
      <c r="AD61" s="34"/>
      <c r="AE61" s="34"/>
      <c r="AF61" s="34"/>
      <c r="AG61" s="34"/>
      <c r="AL61" s="24" t="s">
        <v>172</v>
      </c>
      <c r="AM61" s="8" t="s">
        <v>172</v>
      </c>
      <c r="AN61" s="8" t="s">
        <v>172</v>
      </c>
      <c r="AO61" s="8" t="s">
        <v>332</v>
      </c>
    </row>
    <row r="62" spans="1:59" x14ac:dyDescent="0.25">
      <c r="A62" s="8">
        <v>61</v>
      </c>
      <c r="B62" s="20" t="s">
        <v>129</v>
      </c>
      <c r="C62" s="33">
        <v>46100</v>
      </c>
      <c r="D62" s="20" t="s">
        <v>115</v>
      </c>
      <c r="E62" s="8" t="s">
        <v>211</v>
      </c>
      <c r="H62" s="2" t="s">
        <v>133</v>
      </c>
      <c r="I62" s="11" t="s">
        <v>167</v>
      </c>
      <c r="J62" s="11" t="s">
        <v>410</v>
      </c>
      <c r="K62" s="11">
        <v>76</v>
      </c>
      <c r="L62" s="9">
        <v>145</v>
      </c>
      <c r="M62" s="11"/>
      <c r="N62" s="11"/>
      <c r="O62" s="11"/>
      <c r="Q62" s="6"/>
      <c r="R62" s="14"/>
      <c r="S62" s="15"/>
      <c r="T62" s="11"/>
      <c r="U62" s="7"/>
      <c r="V62" s="36"/>
      <c r="W62" s="35"/>
      <c r="Y62" s="34"/>
      <c r="Z62" s="37"/>
      <c r="AA62" s="34"/>
      <c r="AB62" s="37"/>
      <c r="AC62" s="34"/>
      <c r="AD62" s="34"/>
      <c r="AE62" s="34"/>
      <c r="AF62" s="34"/>
      <c r="AG62" s="34"/>
      <c r="AL62" s="24" t="s">
        <v>357</v>
      </c>
      <c r="AM62" s="8" t="s">
        <v>246</v>
      </c>
      <c r="AN62" s="8" t="s">
        <v>252</v>
      </c>
      <c r="AO62" s="8" t="s">
        <v>333</v>
      </c>
    </row>
    <row r="63" spans="1:59" x14ac:dyDescent="0.25">
      <c r="A63" s="8">
        <v>62</v>
      </c>
      <c r="B63" s="20" t="s">
        <v>129</v>
      </c>
      <c r="C63" s="33">
        <v>46100</v>
      </c>
      <c r="D63" s="20" t="s">
        <v>115</v>
      </c>
      <c r="E63" s="8" t="s">
        <v>212</v>
      </c>
      <c r="H63" s="2" t="s">
        <v>133</v>
      </c>
      <c r="I63" s="11" t="s">
        <v>167</v>
      </c>
      <c r="J63" s="11" t="s">
        <v>410</v>
      </c>
      <c r="K63" s="11">
        <v>76</v>
      </c>
      <c r="L63" s="9">
        <v>145</v>
      </c>
      <c r="M63" s="11"/>
      <c r="N63" s="11"/>
      <c r="O63" s="11"/>
      <c r="Q63" s="6"/>
      <c r="R63" s="14"/>
      <c r="S63" s="15"/>
      <c r="T63" s="11"/>
      <c r="U63" s="7"/>
      <c r="V63" s="36"/>
      <c r="W63" s="35"/>
      <c r="Y63" s="34"/>
      <c r="Z63" s="37"/>
      <c r="AA63" s="34"/>
      <c r="AB63" s="37"/>
      <c r="AC63" s="34"/>
      <c r="AD63" s="34"/>
      <c r="AE63" s="34"/>
      <c r="AF63" s="34"/>
      <c r="AG63" s="34"/>
      <c r="AL63" s="24" t="s">
        <v>358</v>
      </c>
      <c r="AM63" s="8" t="s">
        <v>248</v>
      </c>
      <c r="AN63" s="8" t="s">
        <v>253</v>
      </c>
      <c r="AO63" s="8" t="s">
        <v>334</v>
      </c>
    </row>
    <row r="64" spans="1:59" x14ac:dyDescent="0.25">
      <c r="A64" s="8">
        <v>63</v>
      </c>
      <c r="B64" s="20" t="s">
        <v>129</v>
      </c>
      <c r="C64" s="33">
        <v>46100</v>
      </c>
      <c r="D64" s="20" t="s">
        <v>115</v>
      </c>
      <c r="E64" s="8" t="s">
        <v>213</v>
      </c>
      <c r="H64" s="2" t="s">
        <v>133</v>
      </c>
      <c r="I64" s="11" t="s">
        <v>167</v>
      </c>
      <c r="J64" s="11" t="s">
        <v>410</v>
      </c>
      <c r="K64" s="11">
        <v>76</v>
      </c>
      <c r="L64" s="9">
        <v>145</v>
      </c>
      <c r="M64" s="11"/>
      <c r="N64" s="11"/>
      <c r="O64" s="11"/>
      <c r="Q64" s="6"/>
      <c r="R64" s="14"/>
      <c r="S64" s="15"/>
      <c r="T64" s="11"/>
      <c r="U64" s="7"/>
      <c r="V64" s="36"/>
      <c r="W64" s="35"/>
      <c r="Y64" s="34"/>
      <c r="Z64" s="37"/>
      <c r="AA64" s="34"/>
      <c r="AB64" s="37"/>
      <c r="AC64" s="34"/>
      <c r="AD64" s="34"/>
      <c r="AE64" s="34"/>
      <c r="AF64" s="34"/>
      <c r="AG64" s="34"/>
      <c r="AL64" s="24" t="s">
        <v>359</v>
      </c>
      <c r="AM64" s="8" t="s">
        <v>354</v>
      </c>
      <c r="AN64" s="8" t="s">
        <v>371</v>
      </c>
      <c r="AO64" s="8" t="s">
        <v>335</v>
      </c>
    </row>
    <row r="65" spans="1:41" x14ac:dyDescent="0.25">
      <c r="A65" s="8">
        <v>64</v>
      </c>
      <c r="B65" s="20" t="s">
        <v>129</v>
      </c>
      <c r="C65" s="33">
        <v>46100</v>
      </c>
      <c r="D65" s="20" t="s">
        <v>115</v>
      </c>
      <c r="E65" s="8" t="s">
        <v>214</v>
      </c>
      <c r="H65" s="2" t="s">
        <v>133</v>
      </c>
      <c r="I65" s="11" t="s">
        <v>167</v>
      </c>
      <c r="J65" s="11" t="s">
        <v>410</v>
      </c>
      <c r="K65" s="11">
        <v>76</v>
      </c>
      <c r="L65" s="9">
        <v>145</v>
      </c>
      <c r="M65" s="11"/>
      <c r="N65" s="11"/>
      <c r="O65" s="11"/>
      <c r="Q65" s="6"/>
      <c r="R65" s="14"/>
      <c r="S65" s="15"/>
      <c r="T65" s="11"/>
      <c r="U65" s="7"/>
      <c r="V65" s="36"/>
      <c r="W65" s="35"/>
      <c r="Y65" s="34"/>
      <c r="Z65" s="37"/>
      <c r="AA65" s="34"/>
      <c r="AB65" s="37"/>
      <c r="AC65" s="34"/>
      <c r="AD65" s="34"/>
      <c r="AE65" s="34"/>
      <c r="AF65" s="34"/>
      <c r="AG65" s="34"/>
      <c r="AL65" s="28" t="s">
        <v>360</v>
      </c>
      <c r="AM65" s="27" t="s">
        <v>239</v>
      </c>
      <c r="AN65" s="27" t="s">
        <v>240</v>
      </c>
      <c r="AO65" s="27" t="s">
        <v>336</v>
      </c>
    </row>
    <row r="66" spans="1:41" x14ac:dyDescent="0.25">
      <c r="A66" s="8">
        <v>65</v>
      </c>
      <c r="B66" s="20" t="s">
        <v>129</v>
      </c>
      <c r="C66" s="33">
        <v>46100</v>
      </c>
      <c r="D66" s="20" t="s">
        <v>115</v>
      </c>
      <c r="E66" s="8" t="s">
        <v>215</v>
      </c>
      <c r="H66" s="2" t="s">
        <v>133</v>
      </c>
      <c r="I66" s="11" t="s">
        <v>167</v>
      </c>
      <c r="J66" s="11" t="s">
        <v>410</v>
      </c>
      <c r="K66" s="11">
        <v>76</v>
      </c>
      <c r="L66" s="9">
        <v>145</v>
      </c>
      <c r="M66" s="11"/>
      <c r="N66" s="11"/>
      <c r="O66" s="11"/>
      <c r="Q66" s="6"/>
      <c r="R66" s="14"/>
      <c r="S66" s="15"/>
      <c r="T66" s="11"/>
      <c r="U66" s="7"/>
      <c r="V66" s="36"/>
      <c r="W66" s="35"/>
      <c r="Y66" s="34"/>
      <c r="Z66" s="37"/>
      <c r="AA66" s="34"/>
      <c r="AB66" s="37"/>
      <c r="AC66" s="34"/>
      <c r="AD66" s="34"/>
      <c r="AE66" s="34"/>
      <c r="AF66" s="34"/>
      <c r="AG66" s="34"/>
      <c r="AL66" s="24" t="s">
        <v>361</v>
      </c>
      <c r="AM66" s="8" t="s">
        <v>354</v>
      </c>
      <c r="AN66" s="8" t="s">
        <v>371</v>
      </c>
      <c r="AO66" s="8" t="s">
        <v>337</v>
      </c>
    </row>
    <row r="67" spans="1:41" x14ac:dyDescent="0.25">
      <c r="A67" s="8">
        <v>66</v>
      </c>
      <c r="B67" s="20" t="s">
        <v>129</v>
      </c>
      <c r="C67" s="33">
        <v>46100</v>
      </c>
      <c r="D67" s="20" t="s">
        <v>115</v>
      </c>
      <c r="E67" s="8" t="s">
        <v>216</v>
      </c>
      <c r="H67" s="2" t="s">
        <v>133</v>
      </c>
      <c r="I67" s="11" t="s">
        <v>167</v>
      </c>
      <c r="J67" s="11" t="s">
        <v>410</v>
      </c>
      <c r="K67" s="11">
        <v>76</v>
      </c>
      <c r="L67" s="9">
        <v>145</v>
      </c>
      <c r="M67" s="11"/>
      <c r="N67" s="11"/>
      <c r="O67" s="11"/>
      <c r="Q67" s="6"/>
      <c r="R67" s="14"/>
      <c r="S67" s="15"/>
      <c r="T67" s="11"/>
      <c r="U67" s="7"/>
      <c r="V67" s="36"/>
      <c r="W67" s="35"/>
      <c r="Y67" s="34"/>
      <c r="Z67" s="37"/>
      <c r="AA67" s="34"/>
      <c r="AB67" s="37"/>
      <c r="AC67" s="34"/>
      <c r="AD67" s="34"/>
      <c r="AE67" s="34"/>
      <c r="AF67" s="34"/>
      <c r="AG67" s="34"/>
      <c r="AL67" s="28" t="s">
        <v>362</v>
      </c>
      <c r="AM67" s="27" t="s">
        <v>239</v>
      </c>
      <c r="AN67" s="27" t="s">
        <v>240</v>
      </c>
      <c r="AO67" s="27" t="s">
        <v>338</v>
      </c>
    </row>
    <row r="68" spans="1:41" x14ac:dyDescent="0.25">
      <c r="A68" s="8">
        <v>67</v>
      </c>
      <c r="B68" s="20" t="s">
        <v>129</v>
      </c>
      <c r="C68" s="33">
        <v>46100</v>
      </c>
      <c r="D68" s="20" t="s">
        <v>115</v>
      </c>
      <c r="E68" s="8" t="s">
        <v>217</v>
      </c>
      <c r="H68" s="2" t="s">
        <v>133</v>
      </c>
      <c r="I68" s="11" t="s">
        <v>167</v>
      </c>
      <c r="J68" s="11" t="s">
        <v>410</v>
      </c>
      <c r="K68" s="11">
        <v>76</v>
      </c>
      <c r="L68" s="9">
        <v>145</v>
      </c>
      <c r="M68" s="11"/>
      <c r="N68" s="11"/>
      <c r="O68" s="11"/>
      <c r="Q68" s="6"/>
      <c r="R68" s="14"/>
      <c r="S68" s="15"/>
      <c r="T68" s="11"/>
      <c r="U68" s="7"/>
      <c r="V68" s="36"/>
      <c r="W68" s="35"/>
      <c r="Y68" s="34"/>
      <c r="Z68" s="37"/>
      <c r="AA68" s="34"/>
      <c r="AB68" s="37"/>
      <c r="AC68" s="34"/>
      <c r="AD68" s="34"/>
      <c r="AE68" s="34"/>
      <c r="AF68" s="34"/>
      <c r="AG68" s="34"/>
      <c r="AL68" s="24" t="s">
        <v>363</v>
      </c>
      <c r="AM68" s="8" t="s">
        <v>354</v>
      </c>
      <c r="AN68" s="8" t="s">
        <v>371</v>
      </c>
      <c r="AO68" s="8" t="s">
        <v>339</v>
      </c>
    </row>
    <row r="69" spans="1:41" x14ac:dyDescent="0.25">
      <c r="A69" s="8">
        <v>68</v>
      </c>
      <c r="B69" s="20" t="s">
        <v>129</v>
      </c>
      <c r="C69" s="33">
        <v>46100</v>
      </c>
      <c r="D69" s="20" t="s">
        <v>115</v>
      </c>
      <c r="E69" s="8" t="s">
        <v>218</v>
      </c>
      <c r="H69" s="2" t="s">
        <v>133</v>
      </c>
      <c r="I69" s="11" t="s">
        <v>167</v>
      </c>
      <c r="J69" s="11" t="s">
        <v>410</v>
      </c>
      <c r="K69" s="11">
        <v>76</v>
      </c>
      <c r="L69" s="9">
        <v>145</v>
      </c>
      <c r="M69" s="11"/>
      <c r="N69" s="11"/>
      <c r="O69" s="11"/>
      <c r="Q69" s="6"/>
      <c r="R69" s="14"/>
      <c r="S69" s="15"/>
      <c r="T69" s="11"/>
      <c r="U69" s="7"/>
      <c r="V69" s="36"/>
      <c r="W69" s="35"/>
      <c r="Y69" s="34"/>
      <c r="Z69" s="37"/>
      <c r="AA69" s="34"/>
      <c r="AB69" s="37"/>
      <c r="AC69" s="34"/>
      <c r="AD69" s="34"/>
      <c r="AE69" s="34"/>
      <c r="AF69" s="34"/>
      <c r="AG69" s="34"/>
      <c r="AL69" s="28" t="s">
        <v>364</v>
      </c>
      <c r="AM69" s="27" t="s">
        <v>239</v>
      </c>
      <c r="AN69" s="27" t="s">
        <v>240</v>
      </c>
      <c r="AO69" s="27" t="s">
        <v>340</v>
      </c>
    </row>
    <row r="70" spans="1:41" x14ac:dyDescent="0.25">
      <c r="A70" s="8">
        <v>69</v>
      </c>
      <c r="B70" s="20" t="s">
        <v>129</v>
      </c>
      <c r="C70" s="33">
        <v>46100</v>
      </c>
      <c r="D70" s="20" t="s">
        <v>115</v>
      </c>
      <c r="E70" s="8" t="s">
        <v>219</v>
      </c>
      <c r="H70" s="2" t="s">
        <v>133</v>
      </c>
      <c r="I70" s="11" t="s">
        <v>167</v>
      </c>
      <c r="J70" s="11" t="s">
        <v>410</v>
      </c>
      <c r="K70" s="11">
        <v>76</v>
      </c>
      <c r="L70" s="9">
        <v>145</v>
      </c>
      <c r="M70" s="11"/>
      <c r="N70" s="11"/>
      <c r="O70" s="11"/>
      <c r="Q70" s="6"/>
      <c r="R70" s="14"/>
      <c r="S70" s="15"/>
      <c r="T70" s="11"/>
      <c r="U70" s="7"/>
      <c r="V70" s="36"/>
      <c r="W70" s="35"/>
      <c r="Y70" s="34"/>
      <c r="Z70" s="37"/>
      <c r="AA70" s="34"/>
      <c r="AB70" s="37"/>
      <c r="AC70" s="34"/>
      <c r="AD70" s="34"/>
      <c r="AE70" s="34"/>
      <c r="AF70" s="34"/>
      <c r="AG70" s="34"/>
      <c r="AL70" s="28" t="s">
        <v>365</v>
      </c>
      <c r="AM70" s="27" t="s">
        <v>301</v>
      </c>
      <c r="AN70" s="27" t="s">
        <v>372</v>
      </c>
      <c r="AO70" s="27" t="s">
        <v>341</v>
      </c>
    </row>
    <row r="71" spans="1:41" x14ac:dyDescent="0.25">
      <c r="A71" s="8">
        <v>70</v>
      </c>
      <c r="B71" s="20" t="s">
        <v>129</v>
      </c>
      <c r="C71" s="33">
        <v>46100</v>
      </c>
      <c r="D71" s="20" t="s">
        <v>115</v>
      </c>
      <c r="E71" s="8" t="s">
        <v>220</v>
      </c>
      <c r="H71" s="2" t="s">
        <v>133</v>
      </c>
      <c r="I71" s="11" t="s">
        <v>167</v>
      </c>
      <c r="J71" s="11" t="s">
        <v>410</v>
      </c>
      <c r="K71" s="11">
        <v>76</v>
      </c>
      <c r="L71" s="9">
        <v>145</v>
      </c>
      <c r="M71" s="11"/>
      <c r="N71" s="11"/>
      <c r="O71" s="11"/>
      <c r="Q71" s="6"/>
      <c r="R71" s="14"/>
      <c r="S71" s="15"/>
      <c r="T71" s="11"/>
      <c r="U71" s="7"/>
      <c r="V71" s="36"/>
      <c r="W71" s="35"/>
      <c r="Y71" s="34"/>
      <c r="Z71" s="37"/>
      <c r="AA71" s="34"/>
      <c r="AB71" s="37"/>
      <c r="AC71" s="34"/>
      <c r="AD71" s="34"/>
      <c r="AE71" s="34"/>
      <c r="AF71" s="34"/>
      <c r="AG71" s="34"/>
      <c r="AL71" s="24" t="s">
        <v>366</v>
      </c>
      <c r="AM71" s="8" t="s">
        <v>367</v>
      </c>
      <c r="AN71" s="8" t="s">
        <v>373</v>
      </c>
      <c r="AO71" s="8" t="s">
        <v>342</v>
      </c>
    </row>
    <row r="72" spans="1:41" x14ac:dyDescent="0.25">
      <c r="A72" s="8">
        <v>71</v>
      </c>
      <c r="B72" s="20" t="s">
        <v>129</v>
      </c>
      <c r="C72" s="33">
        <v>46100</v>
      </c>
      <c r="D72" s="20" t="s">
        <v>115</v>
      </c>
      <c r="E72" s="8" t="s">
        <v>221</v>
      </c>
      <c r="H72" s="2" t="s">
        <v>133</v>
      </c>
      <c r="I72" s="11" t="s">
        <v>167</v>
      </c>
      <c r="J72" s="11" t="s">
        <v>410</v>
      </c>
      <c r="K72" s="11">
        <v>76</v>
      </c>
      <c r="L72" s="9">
        <v>145</v>
      </c>
      <c r="M72" s="11"/>
      <c r="N72" s="11"/>
      <c r="O72" s="11"/>
      <c r="Q72" s="6"/>
      <c r="R72" s="14"/>
      <c r="S72" s="15"/>
      <c r="T72" s="11"/>
      <c r="U72" s="7"/>
      <c r="V72" s="36"/>
      <c r="W72" s="35"/>
      <c r="Y72" s="34"/>
      <c r="Z72" s="37"/>
      <c r="AA72" s="34"/>
      <c r="AB72" s="37"/>
      <c r="AC72" s="34"/>
      <c r="AD72" s="34"/>
      <c r="AE72" s="34"/>
      <c r="AF72" s="34"/>
      <c r="AG72" s="34"/>
      <c r="AL72" s="28" t="s">
        <v>368</v>
      </c>
      <c r="AM72" s="27" t="s">
        <v>367</v>
      </c>
      <c r="AN72" s="27" t="s">
        <v>373</v>
      </c>
      <c r="AO72" s="27" t="s">
        <v>343</v>
      </c>
    </row>
    <row r="73" spans="1:41" x14ac:dyDescent="0.25">
      <c r="A73" s="8">
        <v>72</v>
      </c>
      <c r="B73" s="20" t="s">
        <v>129</v>
      </c>
      <c r="C73" s="33">
        <v>46100</v>
      </c>
      <c r="D73" s="20" t="s">
        <v>115</v>
      </c>
      <c r="E73" s="8" t="s">
        <v>222</v>
      </c>
      <c r="H73" s="2" t="s">
        <v>133</v>
      </c>
      <c r="I73" s="11" t="s">
        <v>167</v>
      </c>
      <c r="J73" s="11" t="s">
        <v>410</v>
      </c>
      <c r="K73" s="11">
        <v>76</v>
      </c>
      <c r="L73" s="9">
        <v>145</v>
      </c>
      <c r="M73" s="11"/>
      <c r="N73" s="11"/>
      <c r="O73" s="11"/>
      <c r="Q73" s="6"/>
      <c r="R73" s="14"/>
      <c r="S73" s="15"/>
      <c r="T73" s="11"/>
      <c r="U73" s="7"/>
      <c r="V73" s="36"/>
      <c r="W73" s="35"/>
      <c r="Y73" s="34"/>
      <c r="Z73" s="37"/>
      <c r="AA73" s="34"/>
      <c r="AB73" s="37"/>
      <c r="AC73" s="34"/>
      <c r="AD73" s="34"/>
      <c r="AE73" s="34"/>
      <c r="AF73" s="34"/>
      <c r="AG73" s="34"/>
      <c r="AL73" s="28" t="s">
        <v>369</v>
      </c>
      <c r="AM73" s="27" t="s">
        <v>367</v>
      </c>
      <c r="AN73" s="27" t="s">
        <v>373</v>
      </c>
      <c r="AO73" s="27" t="s">
        <v>344</v>
      </c>
    </row>
    <row r="74" spans="1:41" x14ac:dyDescent="0.25">
      <c r="A74" s="8">
        <v>73</v>
      </c>
      <c r="B74" s="20" t="s">
        <v>129</v>
      </c>
      <c r="C74" s="33">
        <v>46100</v>
      </c>
      <c r="D74" s="20" t="s">
        <v>115</v>
      </c>
      <c r="E74" s="8" t="s">
        <v>223</v>
      </c>
      <c r="H74" s="2" t="s">
        <v>133</v>
      </c>
      <c r="I74" s="11" t="s">
        <v>167</v>
      </c>
      <c r="J74" s="11" t="s">
        <v>410</v>
      </c>
      <c r="K74" s="11">
        <v>76</v>
      </c>
      <c r="L74" s="9">
        <v>145</v>
      </c>
      <c r="M74" s="11"/>
      <c r="N74" s="11"/>
      <c r="O74" s="11"/>
      <c r="Q74" s="6"/>
      <c r="R74" s="14"/>
      <c r="S74" s="15"/>
      <c r="T74" s="11"/>
      <c r="U74" s="7"/>
      <c r="V74" s="36"/>
      <c r="W74" s="35"/>
      <c r="Y74" s="34"/>
      <c r="Z74" s="37"/>
      <c r="AA74" s="34"/>
      <c r="AB74" s="37"/>
      <c r="AC74" s="34"/>
      <c r="AD74" s="34"/>
      <c r="AE74" s="34"/>
      <c r="AF74" s="34"/>
      <c r="AG74" s="34"/>
      <c r="AL74" s="28" t="s">
        <v>370</v>
      </c>
      <c r="AM74" s="27" t="s">
        <v>239</v>
      </c>
      <c r="AN74" s="27" t="s">
        <v>374</v>
      </c>
      <c r="AO74" s="27" t="s">
        <v>345</v>
      </c>
    </row>
    <row r="75" spans="1:41" x14ac:dyDescent="0.25">
      <c r="A75" s="8">
        <v>74</v>
      </c>
      <c r="B75" s="20" t="s">
        <v>129</v>
      </c>
      <c r="C75" s="33">
        <v>46100</v>
      </c>
      <c r="D75" s="20" t="s">
        <v>115</v>
      </c>
      <c r="E75" s="8" t="s">
        <v>172</v>
      </c>
      <c r="H75" s="2" t="s">
        <v>133</v>
      </c>
      <c r="I75" s="11" t="s">
        <v>167</v>
      </c>
      <c r="J75" s="11" t="s">
        <v>410</v>
      </c>
      <c r="K75" s="11">
        <v>76</v>
      </c>
      <c r="L75" s="9">
        <v>145</v>
      </c>
      <c r="M75" s="11"/>
      <c r="N75" s="11"/>
      <c r="O75" s="11"/>
      <c r="Q75" s="6"/>
      <c r="R75" s="14"/>
      <c r="S75" s="15"/>
      <c r="T75" s="11"/>
      <c r="U75" s="7"/>
      <c r="V75" s="36"/>
      <c r="W75" s="35"/>
      <c r="Y75" s="34"/>
      <c r="Z75" s="37"/>
      <c r="AA75" s="34"/>
      <c r="AB75" s="37"/>
      <c r="AC75" s="34"/>
      <c r="AD75" s="34"/>
      <c r="AE75" s="34"/>
      <c r="AF75" s="34"/>
      <c r="AG75" s="34"/>
      <c r="AL75" s="24" t="s">
        <v>172</v>
      </c>
      <c r="AM75" s="8" t="s">
        <v>172</v>
      </c>
      <c r="AN75" s="8" t="s">
        <v>172</v>
      </c>
      <c r="AO75" s="8" t="s">
        <v>346</v>
      </c>
    </row>
    <row r="76" spans="1:41" x14ac:dyDescent="0.25">
      <c r="A76" s="8">
        <v>75</v>
      </c>
      <c r="B76" s="20" t="s">
        <v>129</v>
      </c>
      <c r="C76" s="33">
        <v>46100</v>
      </c>
      <c r="D76" s="20" t="s">
        <v>115</v>
      </c>
      <c r="E76" s="29"/>
      <c r="H76" s="2" t="s">
        <v>133</v>
      </c>
      <c r="I76" s="11" t="s">
        <v>167</v>
      </c>
      <c r="J76" s="11" t="s">
        <v>410</v>
      </c>
      <c r="K76" s="11">
        <v>76</v>
      </c>
      <c r="L76" s="9">
        <v>145</v>
      </c>
      <c r="M76" s="11"/>
      <c r="N76" s="11"/>
      <c r="O76" s="11"/>
      <c r="Q76" s="6"/>
      <c r="R76" s="14"/>
      <c r="S76" s="15"/>
      <c r="T76" s="11"/>
      <c r="U76" s="7"/>
      <c r="V76" s="36"/>
      <c r="W76" s="35"/>
      <c r="Y76" s="34"/>
      <c r="Z76" s="37"/>
      <c r="AA76" s="34"/>
      <c r="AB76" s="37"/>
      <c r="AC76" s="34"/>
      <c r="AD76" s="34"/>
      <c r="AE76" s="34"/>
      <c r="AF76" s="34"/>
      <c r="AG76" s="34"/>
      <c r="AL76" s="24"/>
    </row>
    <row r="77" spans="1:41" x14ac:dyDescent="0.25">
      <c r="A77" s="8">
        <v>76</v>
      </c>
      <c r="B77" s="20" t="s">
        <v>129</v>
      </c>
      <c r="C77" s="33">
        <v>46100</v>
      </c>
      <c r="D77" s="20" t="s">
        <v>115</v>
      </c>
      <c r="E77" s="8" t="s">
        <v>173</v>
      </c>
      <c r="H77" s="2" t="s">
        <v>133</v>
      </c>
      <c r="I77" s="11" t="s">
        <v>167</v>
      </c>
      <c r="J77" s="11" t="s">
        <v>410</v>
      </c>
      <c r="K77" s="11">
        <v>76</v>
      </c>
      <c r="L77" s="9">
        <v>145</v>
      </c>
      <c r="M77" s="11"/>
      <c r="N77" s="11"/>
      <c r="O77" s="11"/>
      <c r="Q77" s="6"/>
      <c r="R77" s="14"/>
      <c r="S77" s="15"/>
      <c r="T77" s="11"/>
      <c r="U77" s="7"/>
      <c r="V77" s="36"/>
      <c r="W77" s="35"/>
      <c r="Y77" s="34"/>
      <c r="Z77" s="37"/>
      <c r="AA77" s="34"/>
      <c r="AB77" s="37"/>
      <c r="AC77" s="34"/>
      <c r="AD77" s="34"/>
      <c r="AE77" s="34"/>
      <c r="AF77" s="34"/>
      <c r="AG77" s="34"/>
      <c r="AL77" s="24" t="s">
        <v>242</v>
      </c>
      <c r="AM77" s="8" t="s">
        <v>239</v>
      </c>
      <c r="AN77" s="8" t="s">
        <v>240</v>
      </c>
      <c r="AO77" s="8" t="s">
        <v>255</v>
      </c>
    </row>
    <row r="78" spans="1:41" x14ac:dyDescent="0.25">
      <c r="A78" s="8">
        <v>77</v>
      </c>
      <c r="B78" s="20" t="s">
        <v>129</v>
      </c>
      <c r="C78" s="33">
        <v>46100</v>
      </c>
      <c r="D78" s="20" t="s">
        <v>115</v>
      </c>
      <c r="E78" s="8" t="s">
        <v>174</v>
      </c>
      <c r="H78" s="2" t="s">
        <v>133</v>
      </c>
      <c r="I78" s="11" t="s">
        <v>167</v>
      </c>
      <c r="J78" s="11" t="s">
        <v>410</v>
      </c>
      <c r="K78" s="11">
        <v>76</v>
      </c>
      <c r="L78" s="9">
        <v>145</v>
      </c>
      <c r="M78" s="11"/>
      <c r="N78" s="11"/>
      <c r="O78" s="11"/>
      <c r="Q78" s="6"/>
      <c r="R78" s="14"/>
      <c r="S78" s="15"/>
      <c r="T78" s="11"/>
      <c r="U78" s="7"/>
      <c r="V78" s="36"/>
      <c r="W78" s="35"/>
      <c r="Y78" s="34"/>
      <c r="Z78" s="37"/>
      <c r="AA78" s="34"/>
      <c r="AB78" s="37"/>
      <c r="AC78" s="34"/>
      <c r="AD78" s="34"/>
      <c r="AE78" s="34"/>
      <c r="AF78" s="34"/>
      <c r="AG78" s="34"/>
      <c r="AL78" s="24" t="s">
        <v>243</v>
      </c>
      <c r="AM78" s="8" t="s">
        <v>239</v>
      </c>
      <c r="AN78" s="8" t="s">
        <v>240</v>
      </c>
      <c r="AO78" s="8" t="s">
        <v>256</v>
      </c>
    </row>
    <row r="79" spans="1:41" x14ac:dyDescent="0.25">
      <c r="A79" s="8">
        <v>78</v>
      </c>
      <c r="B79" s="20" t="s">
        <v>129</v>
      </c>
      <c r="C79" s="33">
        <v>46100</v>
      </c>
      <c r="D79" s="20" t="s">
        <v>115</v>
      </c>
      <c r="E79" s="8" t="s">
        <v>175</v>
      </c>
      <c r="H79" s="2" t="s">
        <v>133</v>
      </c>
      <c r="I79" s="11" t="s">
        <v>167</v>
      </c>
      <c r="J79" s="11" t="s">
        <v>410</v>
      </c>
      <c r="K79" s="11">
        <v>76</v>
      </c>
      <c r="L79" s="9">
        <v>145</v>
      </c>
      <c r="M79" s="11"/>
      <c r="N79" s="11"/>
      <c r="O79" s="11"/>
      <c r="Q79" s="6"/>
      <c r="R79" s="14"/>
      <c r="S79" s="15"/>
      <c r="T79" s="11"/>
      <c r="U79" s="7"/>
      <c r="V79" s="36"/>
      <c r="W79" s="35"/>
      <c r="Y79" s="34"/>
      <c r="Z79" s="37"/>
      <c r="AA79" s="34"/>
      <c r="AB79" s="37"/>
      <c r="AC79" s="34"/>
      <c r="AD79" s="34"/>
      <c r="AE79" s="34"/>
      <c r="AF79" s="34"/>
      <c r="AG79" s="34"/>
      <c r="AL79" s="24" t="s">
        <v>244</v>
      </c>
      <c r="AM79" s="8" t="s">
        <v>239</v>
      </c>
      <c r="AN79" s="8" t="s">
        <v>240</v>
      </c>
      <c r="AO79" s="8" t="s">
        <v>257</v>
      </c>
    </row>
    <row r="80" spans="1:41" x14ac:dyDescent="0.25">
      <c r="A80" s="8">
        <v>79</v>
      </c>
      <c r="B80" s="20" t="s">
        <v>129</v>
      </c>
      <c r="C80" s="33">
        <v>46100</v>
      </c>
      <c r="D80" s="20" t="s">
        <v>115</v>
      </c>
      <c r="E80" s="8" t="s">
        <v>176</v>
      </c>
      <c r="H80" s="2" t="s">
        <v>133</v>
      </c>
      <c r="I80" s="11" t="s">
        <v>167</v>
      </c>
      <c r="J80" s="11" t="s">
        <v>410</v>
      </c>
      <c r="K80" s="11">
        <v>76</v>
      </c>
      <c r="L80" s="9">
        <v>145</v>
      </c>
      <c r="M80" s="11"/>
      <c r="N80" s="11"/>
      <c r="O80" s="11"/>
      <c r="Q80" s="6"/>
      <c r="R80" s="14"/>
      <c r="S80" s="15"/>
      <c r="T80" s="11"/>
      <c r="U80" s="7"/>
      <c r="V80" s="36"/>
      <c r="W80" s="35"/>
      <c r="Y80" s="34"/>
      <c r="Z80" s="37"/>
      <c r="AA80" s="34"/>
      <c r="AB80" s="37"/>
      <c r="AC80" s="34"/>
      <c r="AD80" s="34"/>
      <c r="AE80" s="34"/>
      <c r="AF80" s="34"/>
      <c r="AG80" s="34"/>
      <c r="AL80" s="24" t="s">
        <v>245</v>
      </c>
      <c r="AM80" s="8" t="s">
        <v>246</v>
      </c>
      <c r="AN80" s="8" t="s">
        <v>252</v>
      </c>
      <c r="AO80" s="8" t="s">
        <v>258</v>
      </c>
    </row>
    <row r="81" spans="1:41" x14ac:dyDescent="0.25">
      <c r="A81" s="8">
        <v>80</v>
      </c>
      <c r="B81" s="20" t="s">
        <v>129</v>
      </c>
      <c r="C81" s="33">
        <v>46100</v>
      </c>
      <c r="D81" s="20" t="s">
        <v>115</v>
      </c>
      <c r="E81" s="8" t="s">
        <v>177</v>
      </c>
      <c r="H81" s="2" t="s">
        <v>133</v>
      </c>
      <c r="I81" s="11" t="s">
        <v>167</v>
      </c>
      <c r="J81" s="11" t="s">
        <v>410</v>
      </c>
      <c r="K81" s="11">
        <v>76</v>
      </c>
      <c r="L81" s="9">
        <v>145</v>
      </c>
      <c r="M81" s="11"/>
      <c r="N81" s="11"/>
      <c r="O81" s="11"/>
      <c r="Q81" s="6"/>
      <c r="R81" s="14"/>
      <c r="S81" s="15"/>
      <c r="T81" s="11"/>
      <c r="U81" s="7"/>
      <c r="V81" s="36"/>
      <c r="W81" s="35"/>
      <c r="Y81" s="34"/>
      <c r="Z81" s="37"/>
      <c r="AA81" s="34"/>
      <c r="AB81" s="37"/>
      <c r="AC81" s="34"/>
      <c r="AD81" s="34"/>
      <c r="AE81" s="34"/>
      <c r="AF81" s="34"/>
      <c r="AG81" s="34"/>
      <c r="AL81" s="24" t="s">
        <v>247</v>
      </c>
      <c r="AM81" s="8" t="s">
        <v>248</v>
      </c>
      <c r="AN81" s="8" t="s">
        <v>253</v>
      </c>
      <c r="AO81" s="8" t="s">
        <v>259</v>
      </c>
    </row>
    <row r="82" spans="1:41" x14ac:dyDescent="0.25">
      <c r="A82" s="8">
        <v>81</v>
      </c>
      <c r="B82" s="20" t="s">
        <v>129</v>
      </c>
      <c r="C82" s="33">
        <v>46100</v>
      </c>
      <c r="D82" s="20" t="s">
        <v>115</v>
      </c>
      <c r="E82" s="8" t="s">
        <v>178</v>
      </c>
      <c r="H82" s="2" t="s">
        <v>133</v>
      </c>
      <c r="I82" s="11" t="s">
        <v>167</v>
      </c>
      <c r="J82" s="11" t="s">
        <v>410</v>
      </c>
      <c r="K82" s="11">
        <v>76</v>
      </c>
      <c r="L82" s="9">
        <v>145</v>
      </c>
      <c r="M82" s="11"/>
      <c r="N82" s="11"/>
      <c r="O82" s="11"/>
      <c r="Q82" s="6"/>
      <c r="R82" s="14"/>
      <c r="S82" s="15"/>
      <c r="T82" s="11"/>
      <c r="U82" s="7"/>
      <c r="V82" s="36"/>
      <c r="W82" s="35"/>
      <c r="Y82" s="34"/>
      <c r="Z82" s="37"/>
      <c r="AA82" s="34"/>
      <c r="AB82" s="37"/>
      <c r="AC82" s="34"/>
      <c r="AD82" s="34"/>
      <c r="AE82" s="34"/>
      <c r="AF82" s="34"/>
      <c r="AG82" s="34"/>
      <c r="AL82" s="24" t="s">
        <v>249</v>
      </c>
      <c r="AM82" s="8" t="s">
        <v>239</v>
      </c>
      <c r="AN82" s="8" t="s">
        <v>240</v>
      </c>
      <c r="AO82" s="8" t="s">
        <v>260</v>
      </c>
    </row>
    <row r="83" spans="1:41" x14ac:dyDescent="0.25">
      <c r="A83" s="8">
        <v>82</v>
      </c>
      <c r="B83" s="20" t="s">
        <v>129</v>
      </c>
      <c r="C83" s="33">
        <v>46100</v>
      </c>
      <c r="D83" s="20" t="s">
        <v>115</v>
      </c>
      <c r="E83" s="8" t="s">
        <v>179</v>
      </c>
      <c r="H83" s="2" t="s">
        <v>133</v>
      </c>
      <c r="I83" s="11" t="s">
        <v>167</v>
      </c>
      <c r="J83" s="11" t="s">
        <v>410</v>
      </c>
      <c r="K83" s="11">
        <v>76</v>
      </c>
      <c r="L83" s="9">
        <v>145</v>
      </c>
      <c r="M83" s="11"/>
      <c r="N83" s="11"/>
      <c r="O83" s="11"/>
      <c r="Q83" s="6"/>
      <c r="R83" s="14"/>
      <c r="S83" s="15"/>
      <c r="T83" s="11"/>
      <c r="U83" s="7"/>
      <c r="V83" s="36"/>
      <c r="W83" s="35"/>
      <c r="Y83" s="34"/>
      <c r="Z83" s="37"/>
      <c r="AA83" s="34"/>
      <c r="AB83" s="37"/>
      <c r="AC83" s="34"/>
      <c r="AD83" s="34"/>
      <c r="AE83" s="34"/>
      <c r="AF83" s="34"/>
      <c r="AG83" s="34"/>
      <c r="AL83" s="24" t="s">
        <v>250</v>
      </c>
      <c r="AM83" s="8" t="s">
        <v>251</v>
      </c>
      <c r="AN83" s="8" t="s">
        <v>254</v>
      </c>
      <c r="AO83" s="8" t="s">
        <v>261</v>
      </c>
    </row>
    <row r="84" spans="1:41" ht="15.6" customHeight="1" x14ac:dyDescent="0.25">
      <c r="A84" s="8">
        <v>83</v>
      </c>
      <c r="B84" s="9" t="s">
        <v>130</v>
      </c>
      <c r="C84" s="33">
        <v>46100</v>
      </c>
      <c r="D84" s="10" t="s">
        <v>116</v>
      </c>
      <c r="E84" s="8" t="s">
        <v>224</v>
      </c>
      <c r="H84" s="2" t="s">
        <v>133</v>
      </c>
      <c r="I84" s="11" t="s">
        <v>167</v>
      </c>
      <c r="J84" s="11" t="s">
        <v>410</v>
      </c>
      <c r="K84" s="11">
        <v>76</v>
      </c>
      <c r="L84" s="9">
        <v>336</v>
      </c>
      <c r="M84" s="11">
        <v>115</v>
      </c>
      <c r="N84" s="11" t="s">
        <v>94</v>
      </c>
      <c r="O84" s="11" t="s">
        <v>160</v>
      </c>
      <c r="Q84" s="6"/>
      <c r="R84" s="14"/>
      <c r="S84" s="31"/>
      <c r="T84" s="11">
        <v>0.13600000000000001</v>
      </c>
      <c r="U84" s="7" t="s">
        <v>163</v>
      </c>
      <c r="V84" s="36" t="s">
        <v>164</v>
      </c>
      <c r="W84" s="35">
        <v>1548360</v>
      </c>
      <c r="Y84" s="34">
        <v>0</v>
      </c>
      <c r="Z84" s="37"/>
      <c r="AA84" s="34">
        <v>0</v>
      </c>
      <c r="AB84" s="37"/>
      <c r="AC84" s="34">
        <v>0</v>
      </c>
      <c r="AD84" s="34">
        <v>1548360</v>
      </c>
      <c r="AE84" s="34">
        <v>1548360</v>
      </c>
      <c r="AF84" s="34">
        <v>217364</v>
      </c>
      <c r="AG84" s="34">
        <v>3314084</v>
      </c>
      <c r="AL84" s="24" t="s">
        <v>389</v>
      </c>
      <c r="AM84" s="11" t="s">
        <v>239</v>
      </c>
      <c r="AN84" s="11" t="s">
        <v>240</v>
      </c>
      <c r="AO84" s="8" t="s">
        <v>375</v>
      </c>
    </row>
    <row r="85" spans="1:41" x14ac:dyDescent="0.25">
      <c r="A85" s="8">
        <v>84</v>
      </c>
      <c r="B85" s="20" t="s">
        <v>130</v>
      </c>
      <c r="C85" s="33">
        <v>46100</v>
      </c>
      <c r="D85" s="20" t="s">
        <v>116</v>
      </c>
      <c r="E85" s="8" t="s">
        <v>225</v>
      </c>
      <c r="H85" s="2" t="s">
        <v>133</v>
      </c>
      <c r="I85" s="11" t="s">
        <v>167</v>
      </c>
      <c r="J85" s="11" t="s">
        <v>410</v>
      </c>
      <c r="K85" s="11">
        <v>76</v>
      </c>
      <c r="L85" s="9">
        <v>336</v>
      </c>
      <c r="M85" s="11">
        <v>116</v>
      </c>
      <c r="N85" s="11" t="s">
        <v>152</v>
      </c>
      <c r="O85" s="11" t="s">
        <v>158</v>
      </c>
      <c r="Q85" s="6"/>
      <c r="R85" s="14"/>
      <c r="S85" s="31"/>
      <c r="T85" s="11">
        <v>0.82850000000000001</v>
      </c>
      <c r="U85" s="7" t="s">
        <v>161</v>
      </c>
      <c r="V85" s="36" t="s">
        <v>166</v>
      </c>
      <c r="W85" s="35">
        <v>10231742</v>
      </c>
      <c r="Y85" s="34">
        <v>1255840</v>
      </c>
      <c r="Z85" s="37"/>
      <c r="AA85" s="34">
        <v>0</v>
      </c>
      <c r="AB85" s="37"/>
      <c r="AC85" s="34">
        <v>0</v>
      </c>
      <c r="AD85" s="34">
        <v>11487582</v>
      </c>
      <c r="AE85" s="34">
        <v>11487582</v>
      </c>
      <c r="AF85" s="34">
        <v>1436368</v>
      </c>
      <c r="AG85" s="34">
        <v>24411532</v>
      </c>
      <c r="AL85" s="24" t="s">
        <v>390</v>
      </c>
      <c r="AM85" s="8" t="s">
        <v>246</v>
      </c>
      <c r="AN85" s="8" t="s">
        <v>252</v>
      </c>
      <c r="AO85" s="8" t="s">
        <v>376</v>
      </c>
    </row>
    <row r="86" spans="1:41" x14ac:dyDescent="0.25">
      <c r="A86" s="8">
        <v>85</v>
      </c>
      <c r="B86" s="20" t="s">
        <v>130</v>
      </c>
      <c r="C86" s="33">
        <v>46100</v>
      </c>
      <c r="D86" s="20" t="s">
        <v>116</v>
      </c>
      <c r="E86" s="8" t="s">
        <v>226</v>
      </c>
      <c r="H86" s="2" t="s">
        <v>133</v>
      </c>
      <c r="I86" s="11" t="s">
        <v>167</v>
      </c>
      <c r="J86" s="11" t="s">
        <v>410</v>
      </c>
      <c r="K86" s="11">
        <v>76</v>
      </c>
      <c r="L86" s="9">
        <v>336</v>
      </c>
      <c r="M86" s="11"/>
      <c r="N86" s="11"/>
      <c r="O86" s="11"/>
      <c r="Q86" s="6"/>
      <c r="R86" s="14"/>
      <c r="S86" s="15"/>
      <c r="T86" s="11"/>
      <c r="U86" s="7"/>
      <c r="V86" s="36"/>
      <c r="W86" s="35"/>
      <c r="Y86" s="34"/>
      <c r="Z86" s="37"/>
      <c r="AA86" s="34"/>
      <c r="AB86" s="37"/>
      <c r="AC86" s="34"/>
      <c r="AD86" s="34"/>
      <c r="AE86" s="34"/>
      <c r="AF86" s="34"/>
      <c r="AG86" s="34"/>
      <c r="AL86" s="24" t="s">
        <v>391</v>
      </c>
      <c r="AM86" s="8" t="s">
        <v>239</v>
      </c>
      <c r="AN86" s="8" t="s">
        <v>240</v>
      </c>
      <c r="AO86" s="8" t="s">
        <v>377</v>
      </c>
    </row>
    <row r="87" spans="1:41" x14ac:dyDescent="0.25">
      <c r="A87" s="8">
        <v>86</v>
      </c>
      <c r="B87" s="20" t="s">
        <v>130</v>
      </c>
      <c r="C87" s="33">
        <v>46100</v>
      </c>
      <c r="D87" s="20" t="s">
        <v>116</v>
      </c>
      <c r="E87" s="8" t="s">
        <v>172</v>
      </c>
      <c r="H87" s="2" t="s">
        <v>133</v>
      </c>
      <c r="I87" s="11" t="s">
        <v>167</v>
      </c>
      <c r="J87" s="11" t="s">
        <v>410</v>
      </c>
      <c r="K87" s="11">
        <v>76</v>
      </c>
      <c r="L87" s="9">
        <v>336</v>
      </c>
      <c r="M87" s="11"/>
      <c r="N87" s="11"/>
      <c r="O87" s="11"/>
      <c r="Q87" s="6"/>
      <c r="R87" s="14"/>
      <c r="S87" s="15"/>
      <c r="T87" s="11"/>
      <c r="U87" s="7"/>
      <c r="V87" s="36"/>
      <c r="W87" s="35"/>
      <c r="Y87" s="34"/>
      <c r="Z87" s="37"/>
      <c r="AA87" s="34"/>
      <c r="AB87" s="37"/>
      <c r="AC87" s="34"/>
      <c r="AD87" s="34"/>
      <c r="AE87" s="34"/>
      <c r="AF87" s="34"/>
      <c r="AG87" s="34"/>
      <c r="AL87" s="24" t="s">
        <v>172</v>
      </c>
      <c r="AM87" s="8" t="s">
        <v>172</v>
      </c>
      <c r="AN87" s="8" t="s">
        <v>172</v>
      </c>
      <c r="AO87" s="8" t="s">
        <v>172</v>
      </c>
    </row>
    <row r="88" spans="1:41" x14ac:dyDescent="0.25">
      <c r="A88" s="8">
        <v>87</v>
      </c>
      <c r="B88" s="20" t="s">
        <v>130</v>
      </c>
      <c r="C88" s="33">
        <v>46100</v>
      </c>
      <c r="D88" s="20" t="s">
        <v>116</v>
      </c>
      <c r="E88" s="8" t="s">
        <v>227</v>
      </c>
      <c r="H88" s="2" t="s">
        <v>133</v>
      </c>
      <c r="I88" s="11" t="s">
        <v>167</v>
      </c>
      <c r="J88" s="11" t="s">
        <v>410</v>
      </c>
      <c r="K88" s="11">
        <v>76</v>
      </c>
      <c r="L88" s="9">
        <v>336</v>
      </c>
      <c r="M88" s="11"/>
      <c r="N88" s="11"/>
      <c r="O88" s="11"/>
      <c r="Q88" s="6"/>
      <c r="R88" s="14"/>
      <c r="S88" s="15"/>
      <c r="T88" s="11"/>
      <c r="U88" s="7"/>
      <c r="V88" s="36"/>
      <c r="W88" s="35"/>
      <c r="Y88" s="34"/>
      <c r="Z88" s="37"/>
      <c r="AA88" s="34"/>
      <c r="AB88" s="37"/>
      <c r="AC88" s="34"/>
      <c r="AD88" s="34"/>
      <c r="AE88" s="34"/>
      <c r="AF88" s="34"/>
      <c r="AG88" s="34"/>
      <c r="AL88" s="24" t="s">
        <v>392</v>
      </c>
      <c r="AM88" s="8" t="s">
        <v>239</v>
      </c>
      <c r="AN88" s="8" t="s">
        <v>240</v>
      </c>
      <c r="AO88" s="8" t="s">
        <v>378</v>
      </c>
    </row>
    <row r="89" spans="1:41" x14ac:dyDescent="0.25">
      <c r="A89" s="8">
        <v>88</v>
      </c>
      <c r="B89" s="20" t="s">
        <v>130</v>
      </c>
      <c r="C89" s="33">
        <v>46100</v>
      </c>
      <c r="D89" s="20" t="s">
        <v>116</v>
      </c>
      <c r="E89" s="8" t="s">
        <v>228</v>
      </c>
      <c r="H89" s="2" t="s">
        <v>133</v>
      </c>
      <c r="I89" s="11" t="s">
        <v>167</v>
      </c>
      <c r="J89" s="11" t="s">
        <v>410</v>
      </c>
      <c r="K89" s="11">
        <v>76</v>
      </c>
      <c r="L89" s="9">
        <v>336</v>
      </c>
      <c r="M89" s="11"/>
      <c r="N89" s="11"/>
      <c r="O89" s="11"/>
      <c r="Q89" s="6"/>
      <c r="R89" s="14"/>
      <c r="S89" s="15"/>
      <c r="T89" s="11"/>
      <c r="U89" s="7"/>
      <c r="V89" s="36"/>
      <c r="W89" s="35"/>
      <c r="Y89" s="34"/>
      <c r="Z89" s="37"/>
      <c r="AA89" s="34"/>
      <c r="AB89" s="37"/>
      <c r="AC89" s="34"/>
      <c r="AD89" s="34"/>
      <c r="AE89" s="34"/>
      <c r="AF89" s="34"/>
      <c r="AG89" s="34"/>
      <c r="AL89" s="24" t="s">
        <v>393</v>
      </c>
      <c r="AM89" s="8" t="s">
        <v>367</v>
      </c>
      <c r="AN89" s="8" t="s">
        <v>404</v>
      </c>
      <c r="AO89" s="8" t="s">
        <v>379</v>
      </c>
    </row>
    <row r="90" spans="1:41" x14ac:dyDescent="0.25">
      <c r="A90" s="8">
        <v>89</v>
      </c>
      <c r="B90" s="20" t="s">
        <v>130</v>
      </c>
      <c r="C90" s="33">
        <v>46100</v>
      </c>
      <c r="D90" s="20" t="s">
        <v>116</v>
      </c>
      <c r="E90" s="8" t="s">
        <v>229</v>
      </c>
      <c r="H90" s="2" t="s">
        <v>133</v>
      </c>
      <c r="I90" s="11" t="s">
        <v>167</v>
      </c>
      <c r="J90" s="11" t="s">
        <v>410</v>
      </c>
      <c r="K90" s="11">
        <v>76</v>
      </c>
      <c r="L90" s="9">
        <v>336</v>
      </c>
      <c r="M90" s="11"/>
      <c r="N90" s="11"/>
      <c r="O90" s="11"/>
      <c r="Q90" s="6"/>
      <c r="R90" s="14"/>
      <c r="S90" s="15"/>
      <c r="T90" s="11"/>
      <c r="U90" s="7"/>
      <c r="V90" s="36"/>
      <c r="W90" s="35"/>
      <c r="Y90" s="34"/>
      <c r="Z90" s="37"/>
      <c r="AA90" s="34"/>
      <c r="AB90" s="37"/>
      <c r="AC90" s="34"/>
      <c r="AD90" s="34"/>
      <c r="AE90" s="34"/>
      <c r="AF90" s="34"/>
      <c r="AG90" s="34"/>
      <c r="AL90" s="24" t="s">
        <v>394</v>
      </c>
      <c r="AM90" s="8" t="s">
        <v>246</v>
      </c>
      <c r="AN90" s="8" t="s">
        <v>252</v>
      </c>
      <c r="AO90" s="8" t="s">
        <v>380</v>
      </c>
    </row>
    <row r="91" spans="1:41" x14ac:dyDescent="0.25">
      <c r="A91" s="8">
        <v>90</v>
      </c>
      <c r="B91" s="20" t="s">
        <v>130</v>
      </c>
      <c r="C91" s="33">
        <v>46100</v>
      </c>
      <c r="D91" s="20" t="s">
        <v>116</v>
      </c>
      <c r="E91" s="8" t="s">
        <v>230</v>
      </c>
      <c r="H91" s="2" t="s">
        <v>133</v>
      </c>
      <c r="I91" s="11" t="s">
        <v>167</v>
      </c>
      <c r="J91" s="11" t="s">
        <v>410</v>
      </c>
      <c r="K91" s="11">
        <v>76</v>
      </c>
      <c r="L91" s="9">
        <v>336</v>
      </c>
      <c r="M91" s="11"/>
      <c r="N91" s="11"/>
      <c r="O91" s="11"/>
      <c r="Q91" s="6"/>
      <c r="R91" s="14"/>
      <c r="S91" s="15"/>
      <c r="T91" s="11"/>
      <c r="U91" s="7"/>
      <c r="V91" s="36"/>
      <c r="W91" s="35"/>
      <c r="Y91" s="34"/>
      <c r="Z91" s="37"/>
      <c r="AA91" s="34"/>
      <c r="AB91" s="37"/>
      <c r="AC91" s="34"/>
      <c r="AD91" s="34"/>
      <c r="AE91" s="34"/>
      <c r="AF91" s="34"/>
      <c r="AG91" s="34"/>
      <c r="AL91" s="24" t="s">
        <v>395</v>
      </c>
      <c r="AM91" s="8" t="s">
        <v>239</v>
      </c>
      <c r="AN91" s="8" t="s">
        <v>240</v>
      </c>
      <c r="AO91" s="8" t="s">
        <v>381</v>
      </c>
    </row>
    <row r="92" spans="1:41" x14ac:dyDescent="0.25">
      <c r="A92" s="8">
        <v>91</v>
      </c>
      <c r="B92" s="20" t="s">
        <v>130</v>
      </c>
      <c r="C92" s="33">
        <v>46100</v>
      </c>
      <c r="D92" s="20" t="s">
        <v>116</v>
      </c>
      <c r="E92" s="8" t="s">
        <v>231</v>
      </c>
      <c r="H92" s="2" t="s">
        <v>133</v>
      </c>
      <c r="I92" s="11" t="s">
        <v>167</v>
      </c>
      <c r="J92" s="11" t="s">
        <v>410</v>
      </c>
      <c r="K92" s="11">
        <v>76</v>
      </c>
      <c r="L92" s="9">
        <v>336</v>
      </c>
      <c r="M92" s="11"/>
      <c r="N92" s="11"/>
      <c r="O92" s="11"/>
      <c r="Q92" s="6"/>
      <c r="R92" s="14"/>
      <c r="S92" s="15"/>
      <c r="T92" s="11"/>
      <c r="U92" s="7"/>
      <c r="V92" s="36"/>
      <c r="W92" s="35"/>
      <c r="Y92" s="34"/>
      <c r="Z92" s="37"/>
      <c r="AA92" s="34"/>
      <c r="AB92" s="37"/>
      <c r="AC92" s="34"/>
      <c r="AD92" s="34"/>
      <c r="AE92" s="34"/>
      <c r="AF92" s="34"/>
      <c r="AG92" s="34"/>
      <c r="AL92" s="24" t="s">
        <v>396</v>
      </c>
      <c r="AM92" s="8" t="s">
        <v>239</v>
      </c>
      <c r="AN92" s="8" t="s">
        <v>240</v>
      </c>
      <c r="AO92" s="8" t="s">
        <v>382</v>
      </c>
    </row>
    <row r="93" spans="1:41" x14ac:dyDescent="0.25">
      <c r="A93" s="8">
        <v>92</v>
      </c>
      <c r="B93" s="20" t="s">
        <v>130</v>
      </c>
      <c r="C93" s="33">
        <v>46100</v>
      </c>
      <c r="D93" s="20" t="s">
        <v>116</v>
      </c>
      <c r="E93" s="8" t="s">
        <v>232</v>
      </c>
      <c r="H93" s="2" t="s">
        <v>133</v>
      </c>
      <c r="I93" s="11" t="s">
        <v>167</v>
      </c>
      <c r="J93" s="11" t="s">
        <v>410</v>
      </c>
      <c r="K93" s="11">
        <v>76</v>
      </c>
      <c r="L93" s="9">
        <v>336</v>
      </c>
      <c r="M93" s="11"/>
      <c r="N93" s="11"/>
      <c r="O93" s="11"/>
      <c r="Q93" s="6"/>
      <c r="R93" s="14"/>
      <c r="S93" s="15"/>
      <c r="T93" s="11"/>
      <c r="U93" s="7"/>
      <c r="V93" s="36"/>
      <c r="W93" s="35"/>
      <c r="Y93" s="34"/>
      <c r="Z93" s="37"/>
      <c r="AA93" s="34"/>
      <c r="AB93" s="37"/>
      <c r="AC93" s="34"/>
      <c r="AD93" s="34"/>
      <c r="AE93" s="34"/>
      <c r="AF93" s="34"/>
      <c r="AG93" s="34"/>
      <c r="AL93" s="24" t="s">
        <v>397</v>
      </c>
      <c r="AM93" s="8" t="s">
        <v>239</v>
      </c>
      <c r="AN93" s="8" t="s">
        <v>240</v>
      </c>
      <c r="AO93" s="8" t="s">
        <v>383</v>
      </c>
    </row>
    <row r="94" spans="1:41" x14ac:dyDescent="0.25">
      <c r="A94" s="8">
        <v>93</v>
      </c>
      <c r="B94" s="20" t="s">
        <v>130</v>
      </c>
      <c r="C94" s="33">
        <v>46100</v>
      </c>
      <c r="D94" s="20" t="s">
        <v>116</v>
      </c>
      <c r="E94" s="8" t="s">
        <v>233</v>
      </c>
      <c r="H94" s="2" t="s">
        <v>133</v>
      </c>
      <c r="I94" s="11" t="s">
        <v>167</v>
      </c>
      <c r="J94" s="11" t="s">
        <v>410</v>
      </c>
      <c r="K94" s="11">
        <v>76</v>
      </c>
      <c r="L94" s="9">
        <v>336</v>
      </c>
      <c r="M94" s="11"/>
      <c r="N94" s="11"/>
      <c r="O94" s="11"/>
      <c r="Q94" s="6"/>
      <c r="R94" s="14"/>
      <c r="S94" s="15"/>
      <c r="T94" s="11"/>
      <c r="U94" s="7"/>
      <c r="V94" s="36"/>
      <c r="W94" s="35"/>
      <c r="Y94" s="34"/>
      <c r="Z94" s="37"/>
      <c r="AA94" s="34"/>
      <c r="AB94" s="37"/>
      <c r="AC94" s="34"/>
      <c r="AD94" s="34"/>
      <c r="AE94" s="34"/>
      <c r="AF94" s="34"/>
      <c r="AG94" s="34"/>
      <c r="AL94" s="24" t="s">
        <v>398</v>
      </c>
      <c r="AM94" s="8" t="s">
        <v>239</v>
      </c>
      <c r="AN94" s="8" t="s">
        <v>240</v>
      </c>
      <c r="AO94" s="8" t="s">
        <v>384</v>
      </c>
    </row>
    <row r="95" spans="1:41" x14ac:dyDescent="0.25">
      <c r="A95" s="8">
        <v>94</v>
      </c>
      <c r="B95" s="20" t="s">
        <v>130</v>
      </c>
      <c r="C95" s="33">
        <v>46100</v>
      </c>
      <c r="D95" s="20" t="s">
        <v>116</v>
      </c>
      <c r="E95" s="8" t="s">
        <v>234</v>
      </c>
      <c r="H95" s="2" t="s">
        <v>133</v>
      </c>
      <c r="I95" s="11" t="s">
        <v>167</v>
      </c>
      <c r="J95" s="11" t="s">
        <v>410</v>
      </c>
      <c r="K95" s="11">
        <v>76</v>
      </c>
      <c r="L95" s="9">
        <v>336</v>
      </c>
      <c r="M95" s="11"/>
      <c r="N95" s="11"/>
      <c r="O95" s="11"/>
      <c r="Q95" s="6"/>
      <c r="R95" s="14"/>
      <c r="S95" s="15"/>
      <c r="T95" s="11"/>
      <c r="U95" s="7"/>
      <c r="V95" s="36"/>
      <c r="W95" s="35"/>
      <c r="Y95" s="34"/>
      <c r="Z95" s="37"/>
      <c r="AA95" s="34"/>
      <c r="AB95" s="37"/>
      <c r="AC95" s="34"/>
      <c r="AD95" s="34"/>
      <c r="AE95" s="34"/>
      <c r="AF95" s="34"/>
      <c r="AG95" s="34"/>
      <c r="AL95" s="24" t="s">
        <v>399</v>
      </c>
      <c r="AM95" s="8" t="s">
        <v>246</v>
      </c>
      <c r="AN95" s="8" t="s">
        <v>252</v>
      </c>
      <c r="AO95" s="8" t="s">
        <v>385</v>
      </c>
    </row>
    <row r="96" spans="1:41" x14ac:dyDescent="0.25">
      <c r="A96" s="8">
        <v>95</v>
      </c>
      <c r="B96" s="20" t="s">
        <v>130</v>
      </c>
      <c r="C96" s="33">
        <v>46100</v>
      </c>
      <c r="D96" s="20" t="s">
        <v>116</v>
      </c>
      <c r="E96" s="8" t="s">
        <v>235</v>
      </c>
      <c r="H96" s="2" t="s">
        <v>133</v>
      </c>
      <c r="I96" s="11" t="s">
        <v>167</v>
      </c>
      <c r="J96" s="11" t="s">
        <v>410</v>
      </c>
      <c r="K96" s="11">
        <v>76</v>
      </c>
      <c r="L96" s="9">
        <v>336</v>
      </c>
      <c r="M96" s="11"/>
      <c r="N96" s="11"/>
      <c r="O96" s="11"/>
      <c r="Q96" s="6"/>
      <c r="R96" s="14"/>
      <c r="S96" s="15"/>
      <c r="T96" s="11"/>
      <c r="U96" s="7"/>
      <c r="V96" s="36"/>
      <c r="W96" s="35"/>
      <c r="Y96" s="34"/>
      <c r="Z96" s="37"/>
      <c r="AA96" s="34"/>
      <c r="AB96" s="37"/>
      <c r="AC96" s="34"/>
      <c r="AD96" s="34"/>
      <c r="AE96" s="34"/>
      <c r="AF96" s="34"/>
      <c r="AG96" s="34"/>
      <c r="AL96" s="24" t="s">
        <v>400</v>
      </c>
      <c r="AM96" s="8" t="s">
        <v>401</v>
      </c>
      <c r="AN96" s="8" t="s">
        <v>405</v>
      </c>
      <c r="AO96" s="8" t="s">
        <v>386</v>
      </c>
    </row>
    <row r="97" spans="1:41" x14ac:dyDescent="0.25">
      <c r="A97" s="8">
        <v>96</v>
      </c>
      <c r="B97" s="20" t="s">
        <v>130</v>
      </c>
      <c r="C97" s="33">
        <v>46100</v>
      </c>
      <c r="D97" s="20" t="s">
        <v>116</v>
      </c>
      <c r="E97" s="8" t="s">
        <v>236</v>
      </c>
      <c r="H97" s="2" t="s">
        <v>133</v>
      </c>
      <c r="I97" s="11" t="s">
        <v>167</v>
      </c>
      <c r="J97" s="11" t="s">
        <v>410</v>
      </c>
      <c r="K97" s="11">
        <v>76</v>
      </c>
      <c r="L97" s="9">
        <v>336</v>
      </c>
      <c r="M97" s="11"/>
      <c r="N97" s="11"/>
      <c r="O97" s="11"/>
      <c r="Q97" s="6"/>
      <c r="R97" s="14"/>
      <c r="S97" s="15"/>
      <c r="T97" s="11"/>
      <c r="U97" s="7"/>
      <c r="V97" s="36"/>
      <c r="W97" s="35"/>
      <c r="Y97" s="34"/>
      <c r="Z97" s="37"/>
      <c r="AA97" s="34"/>
      <c r="AB97" s="37"/>
      <c r="AC97" s="34"/>
      <c r="AD97" s="34"/>
      <c r="AE97" s="34"/>
      <c r="AF97" s="34"/>
      <c r="AG97" s="34"/>
      <c r="AL97" s="24" t="s">
        <v>402</v>
      </c>
      <c r="AM97" s="8" t="s">
        <v>401</v>
      </c>
      <c r="AN97" s="8" t="s">
        <v>405</v>
      </c>
      <c r="AO97" s="8" t="s">
        <v>387</v>
      </c>
    </row>
    <row r="98" spans="1:41" x14ac:dyDescent="0.25">
      <c r="A98" s="8">
        <v>97</v>
      </c>
      <c r="B98" s="20" t="s">
        <v>130</v>
      </c>
      <c r="C98" s="33">
        <v>46100</v>
      </c>
      <c r="D98" s="20" t="s">
        <v>116</v>
      </c>
      <c r="E98" s="8" t="s">
        <v>237</v>
      </c>
      <c r="H98" s="2" t="s">
        <v>133</v>
      </c>
      <c r="I98" s="11" t="s">
        <v>167</v>
      </c>
      <c r="J98" s="11" t="s">
        <v>410</v>
      </c>
      <c r="K98" s="11">
        <v>76</v>
      </c>
      <c r="L98" s="9">
        <v>336</v>
      </c>
      <c r="M98" s="11"/>
      <c r="N98" s="11"/>
      <c r="O98" s="11"/>
      <c r="Q98" s="6"/>
      <c r="R98" s="14"/>
      <c r="S98" s="15"/>
      <c r="T98" s="11"/>
      <c r="U98" s="7"/>
      <c r="V98" s="36"/>
      <c r="W98" s="35"/>
      <c r="Y98" s="34"/>
      <c r="Z98" s="37"/>
      <c r="AA98" s="34"/>
      <c r="AB98" s="37"/>
      <c r="AC98" s="34"/>
      <c r="AD98" s="34"/>
      <c r="AE98" s="34"/>
      <c r="AF98" s="34"/>
      <c r="AG98" s="34"/>
      <c r="AL98" s="24" t="s">
        <v>403</v>
      </c>
      <c r="AM98" s="8" t="s">
        <v>401</v>
      </c>
      <c r="AN98" s="8" t="s">
        <v>405</v>
      </c>
      <c r="AO98" s="8" t="s">
        <v>388</v>
      </c>
    </row>
    <row r="99" spans="1:41" ht="45" customHeight="1" x14ac:dyDescent="0.25">
      <c r="A99" s="8">
        <v>98</v>
      </c>
      <c r="B99" s="11" t="s">
        <v>131</v>
      </c>
      <c r="C99" s="33">
        <v>46100</v>
      </c>
      <c r="D99" s="23" t="s">
        <v>117</v>
      </c>
      <c r="E99" s="8" t="s">
        <v>117</v>
      </c>
      <c r="H99" s="2" t="s">
        <v>133</v>
      </c>
      <c r="I99" s="11" t="s">
        <v>167</v>
      </c>
      <c r="J99" s="11" t="s">
        <v>410</v>
      </c>
      <c r="K99" s="11">
        <v>76</v>
      </c>
      <c r="L99" s="11" t="s">
        <v>104</v>
      </c>
      <c r="M99" s="11">
        <v>74</v>
      </c>
      <c r="N99" s="11" t="s">
        <v>156</v>
      </c>
      <c r="O99" s="11" t="s">
        <v>159</v>
      </c>
      <c r="Q99" s="6"/>
      <c r="R99" s="14"/>
      <c r="S99" s="15">
        <v>0.1038</v>
      </c>
      <c r="T99" s="11">
        <v>4.2000000000000003E-2</v>
      </c>
      <c r="U99" s="7" t="s">
        <v>162</v>
      </c>
      <c r="V99" s="36" t="s">
        <v>165</v>
      </c>
      <c r="W99" s="35">
        <v>526560</v>
      </c>
      <c r="Y99" s="34">
        <v>0</v>
      </c>
      <c r="Z99" s="37"/>
      <c r="AA99" s="34">
        <v>0</v>
      </c>
      <c r="AB99" s="37"/>
      <c r="AC99" s="34">
        <v>0</v>
      </c>
      <c r="AD99" s="34">
        <v>526560</v>
      </c>
      <c r="AE99" s="34">
        <v>526560</v>
      </c>
      <c r="AF99" s="34">
        <v>73920</v>
      </c>
      <c r="AG99" s="34">
        <v>1127040</v>
      </c>
      <c r="AL99" s="24" t="s">
        <v>407</v>
      </c>
      <c r="AM99" s="8" t="s">
        <v>239</v>
      </c>
      <c r="AN99" s="8" t="s">
        <v>408</v>
      </c>
      <c r="AO99" s="8" t="s">
        <v>406</v>
      </c>
    </row>
    <row r="100" spans="1:41" ht="110.25" customHeight="1" x14ac:dyDescent="0.25">
      <c r="A100" s="8">
        <v>99</v>
      </c>
      <c r="B100" s="11" t="s">
        <v>132</v>
      </c>
      <c r="D100" s="23" t="s">
        <v>168</v>
      </c>
      <c r="E100" s="8" t="s">
        <v>171</v>
      </c>
      <c r="F100" s="23"/>
      <c r="G100" s="23"/>
      <c r="H100" s="2" t="s">
        <v>409</v>
      </c>
      <c r="I100" s="11" t="s">
        <v>167</v>
      </c>
      <c r="J100" s="23" t="s">
        <v>411</v>
      </c>
      <c r="K100" s="23">
        <v>75</v>
      </c>
      <c r="L100" s="11">
        <v>652</v>
      </c>
      <c r="M100" s="11">
        <v>4504</v>
      </c>
      <c r="N100" s="11" t="s">
        <v>155</v>
      </c>
      <c r="O100" s="13" t="s">
        <v>160</v>
      </c>
      <c r="P100" s="23"/>
      <c r="Q100" s="15"/>
      <c r="R100" s="23"/>
      <c r="S100" s="15">
        <v>0.48930000000000001</v>
      </c>
      <c r="T100" s="15">
        <v>0.19800000000000001</v>
      </c>
      <c r="U100" s="23"/>
      <c r="V100" s="23"/>
      <c r="W100" s="23"/>
      <c r="X100" s="23"/>
      <c r="Y100" s="38"/>
      <c r="Z100" s="37"/>
      <c r="AA100" s="37"/>
      <c r="AB100" s="37"/>
      <c r="AC100" s="37"/>
      <c r="AD100" s="37"/>
      <c r="AE100" s="37"/>
      <c r="AF100" s="37"/>
      <c r="AG100" s="37"/>
    </row>
  </sheetData>
  <phoneticPr fontId="3" type="noConversion"/>
  <conditionalFormatting sqref="L1">
    <cfRule type="duplicateValues" dxfId="0" priority="1"/>
  </conditionalFormatting>
  <pageMargins left="0.7" right="0.7" top="0.75" bottom="0.75" header="0.3" footer="0.3"/>
  <pageSetup paperSize="9"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
  <sheetViews>
    <sheetView workbookViewId="0">
      <selection activeCell="D3" sqref="D3"/>
    </sheetView>
  </sheetViews>
  <sheetFormatPr defaultRowHeight="15" x14ac:dyDescent="0.25"/>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Sheet2</vt:lpstr>
      <vt:lpstr>Sheet1</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Alok Mohanty</dc:creator>
  <cp:keywords/>
  <dc:description/>
  <cp:lastModifiedBy>mahesh BNB</cp:lastModifiedBy>
  <cp:revision/>
  <dcterms:created xsi:type="dcterms:W3CDTF">2025-10-17T11:48:31Z</dcterms:created>
  <dcterms:modified xsi:type="dcterms:W3CDTF">2026-03-26T08:05:46Z</dcterms:modified>
  <cp:category/>
  <cp:contentStatus/>
</cp:coreProperties>
</file>