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315BADA-F217-4ED3-BED4-45E058628C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" i="1" l="1"/>
  <c r="X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tc={91390D49-79F4-479D-B1EC-11BE57BDAC8D}</author>
    <author>tc={1564EFC2-4442-4F5E-AB5E-C616FB0C04E2}</author>
    <author>tc={DCF8E31D-AF83-474B-BFEC-A57A4020D090}</author>
    <author>tc={48FC125C-BE63-460E-B3D0-CD077B6A3048}</author>
    <author>tc={ED670CC7-263A-40D7-A66B-896067E653FD}</author>
    <author>tc={B3720648-539B-4171-AC51-1A7166FE1845}</author>
    <author>tc={2F4CC011-09BF-4FD4-BC67-55038D114CCE}</author>
    <author>tc={48FBB01F-2CF9-482D-85D7-F388AA8BD191}</author>
    <author>tc={8BDB2EE5-16A1-485B-8652-562EAD9D7D78}</author>
    <author>tc={91EECC91-3AC0-4518-B3B4-F3DC9F6D7863}</author>
  </authors>
  <commentList>
    <comment ref="R4" authorId="0" shapeId="0" xr:uid="{EB859F60-A339-44FE-A4C8-5A37681BC73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Land Value may be uploaded in Acre or hectrare. Accordingly, need to program</t>
        </r>
      </text>
    </comment>
    <comment ref="S4" authorId="1" shapeId="0" xr:uid="{404B2C81-6613-4EDC-BD78-85E5D1E87D2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Land Value may be uploaded in Acre or hectrare. Accordingly, need to program</t>
        </r>
      </text>
    </comment>
    <comment ref="T4" authorId="2" shapeId="0" xr:uid="{8947BD89-3541-4AA9-AE60-DEB1DED9861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Land Value may be uploaded in Acre or hectrare. Accordingly, need to program</t>
        </r>
      </text>
    </comment>
    <comment ref="U4" authorId="3" shapeId="0" xr:uid="{00A7F820-445E-49A5-8488-8FE3D89D070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Land Value may be uploaded in Acre or hectrare. Accordingly, need to program</t>
        </r>
      </text>
    </comment>
    <comment ref="AG4" authorId="4" shapeId="0" xr:uid="{050DDDC0-9D7C-42DD-9E81-BEE0750F62A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Payment Page Entry</t>
        </r>
      </text>
    </comment>
    <comment ref="AJ4" authorId="5" shapeId="0" xr:uid="{BC2A5E0E-7FD9-4410-8B86-53CF8504BE1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Payment page entry</t>
        </r>
      </text>
    </comment>
    <comment ref="AK4" authorId="6" shapeId="0" xr:uid="{C3410DC7-DBF8-4BBA-BE4F-2D2AD429BECB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may include Mine Plan Year or Specify urgency of land acquisition
</t>
        </r>
      </text>
    </comment>
    <comment ref="AU4" authorId="7" shapeId="0" xr:uid="{19D53025-C838-4017-A462-1762BF1BAD0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SES Data not required for plot details</t>
        </r>
      </text>
    </comment>
    <comment ref="BO4" authorId="8" shapeId="0" xr:uid="{E429C517-55AC-4B06-BAE2-956B79A8C5C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R&amp;R Payment Page Entry</t>
        </r>
      </text>
    </comment>
    <comment ref="CK4" authorId="9" shapeId="0" xr:uid="{5AEB1E2D-A2AA-4D36-80B7-02C69CE3C1A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Govt. Land Page Entry</t>
        </r>
      </text>
    </comment>
  </commentList>
</comments>
</file>

<file path=xl/sharedStrings.xml><?xml version="1.0" encoding="utf-8"?>
<sst xmlns="http://schemas.openxmlformats.org/spreadsheetml/2006/main" count="814" uniqueCount="406">
  <si>
    <t>RE01</t>
  </si>
  <si>
    <t>RE02</t>
  </si>
  <si>
    <t>RE03</t>
  </si>
  <si>
    <t>LO1</t>
  </si>
  <si>
    <t>LO2</t>
  </si>
  <si>
    <t>LO3</t>
  </si>
  <si>
    <t>LO4</t>
  </si>
  <si>
    <t>LO5</t>
  </si>
  <si>
    <t>LO6</t>
  </si>
  <si>
    <t>LO7</t>
  </si>
  <si>
    <t>LO8</t>
  </si>
  <si>
    <t>LO9</t>
  </si>
  <si>
    <t>LO10</t>
  </si>
  <si>
    <t>LO11</t>
  </si>
  <si>
    <t>LO12</t>
  </si>
  <si>
    <t>LO13</t>
  </si>
  <si>
    <t>LA1</t>
  </si>
  <si>
    <t>LA2</t>
  </si>
  <si>
    <t>LA3</t>
  </si>
  <si>
    <t>LA4</t>
  </si>
  <si>
    <t>LA5</t>
  </si>
  <si>
    <t>LA6</t>
  </si>
  <si>
    <t>LA7</t>
  </si>
  <si>
    <t>LA8</t>
  </si>
  <si>
    <t>LA9</t>
  </si>
  <si>
    <t>LA10</t>
  </si>
  <si>
    <t>LA11</t>
  </si>
  <si>
    <t>LA12</t>
  </si>
  <si>
    <t>LA13</t>
  </si>
  <si>
    <t>LA14</t>
  </si>
  <si>
    <t>LA15</t>
  </si>
  <si>
    <t>LA16</t>
  </si>
  <si>
    <t>LA17</t>
  </si>
  <si>
    <t>LA18</t>
  </si>
  <si>
    <t>LA19</t>
  </si>
  <si>
    <t>LA20</t>
  </si>
  <si>
    <t>LA21</t>
  </si>
  <si>
    <t>BK01</t>
  </si>
  <si>
    <t>BK02</t>
  </si>
  <si>
    <t>BK03</t>
  </si>
  <si>
    <t>PD01</t>
  </si>
  <si>
    <t>PD02</t>
  </si>
  <si>
    <t>PD03</t>
  </si>
  <si>
    <t>PD04</t>
  </si>
  <si>
    <t>PD05</t>
  </si>
  <si>
    <t>PD06</t>
  </si>
  <si>
    <t>PD07</t>
  </si>
  <si>
    <t>PD08</t>
  </si>
  <si>
    <t>PD09</t>
  </si>
  <si>
    <t>PD10</t>
  </si>
  <si>
    <t>FD01</t>
  </si>
  <si>
    <t>FD02</t>
  </si>
  <si>
    <t>FD03</t>
  </si>
  <si>
    <t>FD04</t>
  </si>
  <si>
    <t>FD05</t>
  </si>
  <si>
    <t>FD06</t>
  </si>
  <si>
    <t>FD07</t>
  </si>
  <si>
    <t>FD08</t>
  </si>
  <si>
    <t>FD09</t>
  </si>
  <si>
    <t>LG01</t>
  </si>
  <si>
    <t>LG02</t>
  </si>
  <si>
    <t>LG03</t>
  </si>
  <si>
    <t>LG04</t>
  </si>
  <si>
    <t>LG05</t>
  </si>
  <si>
    <t>RR01</t>
  </si>
  <si>
    <t>RR02</t>
  </si>
  <si>
    <t>RR03</t>
  </si>
  <si>
    <t>RR04</t>
  </si>
  <si>
    <t>RR05</t>
  </si>
  <si>
    <t>RR06</t>
  </si>
  <si>
    <t>RR07</t>
  </si>
  <si>
    <t>RR08</t>
  </si>
  <si>
    <t>RR09</t>
  </si>
  <si>
    <t>RR10</t>
  </si>
  <si>
    <t>RR11</t>
  </si>
  <si>
    <t>RR12</t>
  </si>
  <si>
    <t>RR13</t>
  </si>
  <si>
    <t>RR14</t>
  </si>
  <si>
    <t>GR01</t>
  </si>
  <si>
    <t>GR02</t>
  </si>
  <si>
    <t>GR03</t>
  </si>
  <si>
    <t>GR04</t>
  </si>
  <si>
    <t>GR05</t>
  </si>
  <si>
    <t>TR01</t>
  </si>
  <si>
    <t>TR02</t>
  </si>
  <si>
    <t>TR03</t>
  </si>
  <si>
    <t>GV01</t>
  </si>
  <si>
    <t>GV02</t>
  </si>
  <si>
    <t>GV03</t>
  </si>
  <si>
    <t>GV04</t>
  </si>
  <si>
    <t>GV05</t>
  </si>
  <si>
    <t>AB01</t>
  </si>
  <si>
    <t>Record ID</t>
  </si>
  <si>
    <t>Land Owner Details</t>
  </si>
  <si>
    <t>Land Acq. Details</t>
  </si>
  <si>
    <t>Bank Acc Details</t>
  </si>
  <si>
    <t>Personal Details</t>
  </si>
  <si>
    <t>Family Details</t>
  </si>
  <si>
    <t>Legal Case Details</t>
  </si>
  <si>
    <t>R&amp;R Details</t>
  </si>
  <si>
    <t>Grievance Details</t>
  </si>
  <si>
    <t>Tribunal Details</t>
  </si>
  <si>
    <t>Govt. Land Details</t>
  </si>
  <si>
    <t>Abatement Details</t>
  </si>
  <si>
    <t>Auto Generated ID (Project/Village/Khata#)</t>
  </si>
  <si>
    <t>LA Case File No.</t>
  </si>
  <si>
    <t>Date of Award</t>
  </si>
  <si>
    <t>LO1-Name of Recorded Tenant (RT)</t>
  </si>
  <si>
    <t>LO2-Name of Present Tenant(s)</t>
  </si>
  <si>
    <t>Present Address</t>
  </si>
  <si>
    <t>Displaced/Affected Person</t>
  </si>
  <si>
    <t>Name of Village</t>
  </si>
  <si>
    <t>Code</t>
  </si>
  <si>
    <t>Name of the Tahasil</t>
  </si>
  <si>
    <t>Name of the R.I. Circle</t>
  </si>
  <si>
    <t>Thana No.</t>
  </si>
  <si>
    <t>Khata No.</t>
  </si>
  <si>
    <t>Plot No.</t>
  </si>
  <si>
    <t>Kissam of the Land</t>
  </si>
  <si>
    <t>LO12-Category of Land</t>
  </si>
  <si>
    <t>LO13-Remarks</t>
  </si>
  <si>
    <t>LA1-Land Area (Total Area in Acres)</t>
  </si>
  <si>
    <t>LA2-Land Area (Total Area in Ha.)</t>
  </si>
  <si>
    <t>Land Area (Total Acquired Area in Acres)</t>
  </si>
  <si>
    <t>Land Area (Total Acquired Area in Ha.)</t>
  </si>
  <si>
    <t>Market Value fixed U/S.26 of RFCTLARR Act 2013 (Per Acre)</t>
  </si>
  <si>
    <t>Basic Land value</t>
  </si>
  <si>
    <t>Land value  with multiplication factor (Values from 1 to 2)</t>
  </si>
  <si>
    <t>No. of Trees</t>
  </si>
  <si>
    <t xml:space="preserve">Total Value of Trees </t>
  </si>
  <si>
    <t>No. of House</t>
  </si>
  <si>
    <t xml:space="preserve"> Value of Structure (house)</t>
  </si>
  <si>
    <t>Detail of Structures other than House</t>
  </si>
  <si>
    <t xml:space="preserve">Value of structures other than house
</t>
  </si>
  <si>
    <t xml:space="preserve"> Total Value  (Land-22 + Tree-24 + House-26 + Structures-28)</t>
  </si>
  <si>
    <t xml:space="preserve">Solatium @ of (100%) </t>
  </si>
  <si>
    <t>Days of interest</t>
  </si>
  <si>
    <t xml:space="preserve">12% additional compensation on market value of land area </t>
  </si>
  <si>
    <t>Total Compensation Amount</t>
  </si>
  <si>
    <t>LA18-Apportionment Amount of the Award for the Individual Family Member</t>
  </si>
  <si>
    <t>LA19-Priority/Urgency</t>
  </si>
  <si>
    <t>LA20-Land Use Plan</t>
  </si>
  <si>
    <t>LA21-Remarks</t>
  </si>
  <si>
    <t>BK01-Bank Account No.</t>
  </si>
  <si>
    <t>BK02-Name of the Bank</t>
  </si>
  <si>
    <t>BK03-Name of the Branch with IFSC Code</t>
  </si>
  <si>
    <t>PD01-Aadhaar No.</t>
  </si>
  <si>
    <t>PAN No.</t>
  </si>
  <si>
    <t>Age</t>
  </si>
  <si>
    <t>Caste</t>
  </si>
  <si>
    <t>Marital Status</t>
  </si>
  <si>
    <t>Education</t>
  </si>
  <si>
    <t>Occupation</t>
  </si>
  <si>
    <t>Annual Income</t>
  </si>
  <si>
    <t>PD09- Skill Acquired</t>
  </si>
  <si>
    <t>PD10-Affidavit with subject details (if any)</t>
  </si>
  <si>
    <t>FD01-No. of Family Members (Major Male)</t>
  </si>
  <si>
    <t>No. of Family Members (Major Female)</t>
  </si>
  <si>
    <t>No. of Family Members (Minor Male)</t>
  </si>
  <si>
    <t>No. of Family Members (Minor Female)</t>
  </si>
  <si>
    <t>No. of Family Members (Major Transgender)</t>
  </si>
  <si>
    <t>No. of Family Members (Minor Transgender)</t>
  </si>
  <si>
    <t xml:space="preserve">No. of Persons with Disability </t>
  </si>
  <si>
    <t>Family with Orphan Members (Y/N)</t>
  </si>
  <si>
    <t>FD09-Legal Heir Certificate No. (if any)</t>
  </si>
  <si>
    <t>LG01-Land Case - No. (Number)</t>
  </si>
  <si>
    <t>Land Case - Date (Date)</t>
  </si>
  <si>
    <t>Land Case Type</t>
  </si>
  <si>
    <t>Land case - Status</t>
  </si>
  <si>
    <t>LG05-Land Case - Action</t>
  </si>
  <si>
    <t xml:space="preserve">RR Assistance (Rehab) - Employment in the Project </t>
  </si>
  <si>
    <t>RR Assistance (Rehab) - Cash in lieu of Employment</t>
  </si>
  <si>
    <t>RR Assistance (Rehab) - Training for Skill Upgradation</t>
  </si>
  <si>
    <t>RR Assistance (Rehab) - Assistance for Self Employment</t>
  </si>
  <si>
    <t>RR Assistance (Rehab) - Special Allowance to STs for loss of NTFP</t>
  </si>
  <si>
    <t>RR Assistance (Resettle) - Homested Land Alloted/Self Relocation</t>
  </si>
  <si>
    <t>RR Assistance (Resettle) - House Building Assistance</t>
  </si>
  <si>
    <t>RR Assistance (Resettle) - Constructed by Project Authority/Self</t>
  </si>
  <si>
    <t>RR Assistance (Resettle) - Assistance for Transit Shed</t>
  </si>
  <si>
    <t>RR Assistance (Resettle) - Transportation Allowance</t>
  </si>
  <si>
    <t>RR Assistance (Resettle) - Maintenance Allowance</t>
  </si>
  <si>
    <t>RR Assistance (Other) - Special Allowance for Multiple Displacement</t>
  </si>
  <si>
    <t>RR Assistance (Other) - Ex-Gratia (if any)</t>
  </si>
  <si>
    <t>RR Assistance (Other) - Other Benefits (if any)</t>
  </si>
  <si>
    <t xml:space="preserve">GR01-Grievance No. </t>
  </si>
  <si>
    <t>Grievance  Date</t>
  </si>
  <si>
    <t>Grievance - Subject Matter</t>
  </si>
  <si>
    <t>Grievance - Present Status</t>
  </si>
  <si>
    <t>GR05-Grievance - Action taken</t>
  </si>
  <si>
    <t>TR01-Tribunal (Y/N)</t>
  </si>
  <si>
    <t>Tribunal - Date of Deposit</t>
  </si>
  <si>
    <t>TR03-Tribunal - Amount Deposited</t>
  </si>
  <si>
    <t>GV01-Premium</t>
  </si>
  <si>
    <t>GV02-Ground Rent</t>
  </si>
  <si>
    <t>GV03-Cess</t>
  </si>
  <si>
    <t>GV04-Incidental Charges</t>
  </si>
  <si>
    <t>GV05-Total</t>
  </si>
  <si>
    <t>Abatement</t>
  </si>
  <si>
    <t>Alphanumeric</t>
  </si>
  <si>
    <t>Date</t>
  </si>
  <si>
    <t>Text</t>
  </si>
  <si>
    <t>PDF/PAF</t>
  </si>
  <si>
    <t>Numeric</t>
  </si>
  <si>
    <t>Rs</t>
  </si>
  <si>
    <t>Yes/No</t>
  </si>
  <si>
    <t>Number</t>
  </si>
  <si>
    <t>RA01</t>
  </si>
  <si>
    <t>GMDC/HDG/8297</t>
  </si>
  <si>
    <t>28-04-2021</t>
  </si>
  <si>
    <t>Puspalata Majhi</t>
  </si>
  <si>
    <t>At-Kulei, Po-Kulei, Ps-Athmallik, Dist-Angul</t>
  </si>
  <si>
    <t>PDF</t>
  </si>
  <si>
    <t>Kulei</t>
  </si>
  <si>
    <t>Athmallik</t>
  </si>
  <si>
    <t>Chhendipada</t>
  </si>
  <si>
    <t>407/346</t>
  </si>
  <si>
    <t>203/3755</t>
  </si>
  <si>
    <t>Gharabari</t>
  </si>
  <si>
    <t>V</t>
  </si>
  <si>
    <t>Canara Bank</t>
  </si>
  <si>
    <t>CNRB0003369</t>
  </si>
  <si>
    <t>BNZPM1234A</t>
  </si>
  <si>
    <t>ST</t>
  </si>
  <si>
    <t>Married</t>
  </si>
  <si>
    <t>Matric</t>
  </si>
  <si>
    <t>Farmer</t>
  </si>
  <si>
    <t>RA02</t>
  </si>
  <si>
    <t>GMDC/HDG/9163</t>
  </si>
  <si>
    <t>11-10-2020</t>
  </si>
  <si>
    <t>Bhuban Sethi</t>
  </si>
  <si>
    <t>At-Machhakuta, Po-Machhakuta, Ps-Banarpal, Dist-Angul</t>
  </si>
  <si>
    <t>PAF</t>
  </si>
  <si>
    <t>Machhakuta</t>
  </si>
  <si>
    <t>Banarpal</t>
  </si>
  <si>
    <t>407/347</t>
  </si>
  <si>
    <t>203/3756</t>
  </si>
  <si>
    <t>HDFC</t>
  </si>
  <si>
    <t>HDFC0009840</t>
  </si>
  <si>
    <t>ABPBS5678M</t>
  </si>
  <si>
    <t>SC</t>
  </si>
  <si>
    <t>Unmarried</t>
  </si>
  <si>
    <t>Garduation</t>
  </si>
  <si>
    <t>Job</t>
  </si>
  <si>
    <t>RA03</t>
  </si>
  <si>
    <t>GMDC/HDG/2072</t>
  </si>
  <si>
    <t>23-02-2020</t>
  </si>
  <si>
    <t>Ramesh Pradhan</t>
  </si>
  <si>
    <t>At-Tentuloi, Po-Tentuloi, Ps-Chhendipada, Dist-Angul</t>
  </si>
  <si>
    <t>Tentuloi</t>
  </si>
  <si>
    <t>407/348</t>
  </si>
  <si>
    <t>203/3757</t>
  </si>
  <si>
    <t>SBI</t>
  </si>
  <si>
    <t>SBIN0002042</t>
  </si>
  <si>
    <t>CRRP1234K</t>
  </si>
  <si>
    <t>OBC</t>
  </si>
  <si>
    <t>7th Pass</t>
  </si>
  <si>
    <t>RA04</t>
  </si>
  <si>
    <t>GMDC/HDG/2994</t>
  </si>
  <si>
    <t>28-05-2023</t>
  </si>
  <si>
    <t>Sabitri Naik</t>
  </si>
  <si>
    <t>407/418</t>
  </si>
  <si>
    <t>118/3570</t>
  </si>
  <si>
    <t>Taila</t>
  </si>
  <si>
    <t>III</t>
  </si>
  <si>
    <t>ADFSN5678P</t>
  </si>
  <si>
    <t>GEN</t>
  </si>
  <si>
    <t>Business</t>
  </si>
  <si>
    <t>Electrician</t>
  </si>
  <si>
    <t>LHC/2021/0456</t>
  </si>
  <si>
    <t>RA05</t>
  </si>
  <si>
    <t>GMDC/HDG/6261</t>
  </si>
  <si>
    <t>12-09-2024</t>
  </si>
  <si>
    <t>Madhab Behera</t>
  </si>
  <si>
    <t>407/459</t>
  </si>
  <si>
    <t>MBHC1234M</t>
  </si>
  <si>
    <t>Gardution</t>
  </si>
  <si>
    <t>RA06</t>
  </si>
  <si>
    <t>GMDC/HDG/7783</t>
  </si>
  <si>
    <t>22-06-2024</t>
  </si>
  <si>
    <t>Laxmi Sahu</t>
  </si>
  <si>
    <t>At-Tainsar, Po-Tainsar, Ps-Angul, Dist-Angul</t>
  </si>
  <si>
    <t>Tainsar</t>
  </si>
  <si>
    <t>Angul</t>
  </si>
  <si>
    <t>407/9</t>
  </si>
  <si>
    <t>1099/3328</t>
  </si>
  <si>
    <t>Pond</t>
  </si>
  <si>
    <t>HDFC0004738</t>
  </si>
  <si>
    <t>LSPL5678K</t>
  </si>
  <si>
    <t>Grafution</t>
  </si>
  <si>
    <t>RA07</t>
  </si>
  <si>
    <t>GMDC/HDG/2814</t>
  </si>
  <si>
    <t>03-08-2024</t>
  </si>
  <si>
    <t>Ranjan Rout</t>
  </si>
  <si>
    <t>At-Handigoda, Po-Handigoda, Ps-Athmallik, Dist-Angul</t>
  </si>
  <si>
    <t>Handigoda</t>
  </si>
  <si>
    <t>182/45</t>
  </si>
  <si>
    <t>932/1563</t>
  </si>
  <si>
    <t>RJRT1234N</t>
  </si>
  <si>
    <t>8th Pass</t>
  </si>
  <si>
    <t>RA08</t>
  </si>
  <si>
    <t>GMDC/HDG/9262</t>
  </si>
  <si>
    <t>24-07-2020</t>
  </si>
  <si>
    <t>Kusuma Pradhan</t>
  </si>
  <si>
    <t>At-Kulei, Po-Kulei, Ps-Banarpal, Dist-Angul</t>
  </si>
  <si>
    <t>182/47</t>
  </si>
  <si>
    <t>932/1565</t>
  </si>
  <si>
    <t>CNRB0003370</t>
  </si>
  <si>
    <t>KSPC5678M</t>
  </si>
  <si>
    <t>Plus 2</t>
  </si>
  <si>
    <t>RA09</t>
  </si>
  <si>
    <t>GMDC/HDG/3120</t>
  </si>
  <si>
    <t>11-01-2022</t>
  </si>
  <si>
    <t>Nirmal Sethi</t>
  </si>
  <si>
    <t>At-Chhendipada, Po-Chhendipada, Ps-Banarpal, Dist-Angul</t>
  </si>
  <si>
    <t>182/31</t>
  </si>
  <si>
    <t>836/1541</t>
  </si>
  <si>
    <t>HDFC0009841</t>
  </si>
  <si>
    <t>NRMS1234P</t>
  </si>
  <si>
    <t>LHC/2024/1123</t>
  </si>
  <si>
    <t>RA10</t>
  </si>
  <si>
    <t>GMDC/HDG/5588</t>
  </si>
  <si>
    <t>22-03-2024</t>
  </si>
  <si>
    <t>Anita Majhi</t>
  </si>
  <si>
    <t>At-Machhakuta, Po-Machhakuta, Ps-Angul, Dist-Angul</t>
  </si>
  <si>
    <t>182/273</t>
  </si>
  <si>
    <t>ANMJ5678L</t>
  </si>
  <si>
    <t>RA11</t>
  </si>
  <si>
    <t>GMDC/HDG/2064</t>
  </si>
  <si>
    <t>26-02-2022</t>
  </si>
  <si>
    <t>Suresh Behera</t>
  </si>
  <si>
    <t>At-Tentuloi, Po-Tentuloi, Ps-Banarpal, Dist-Angul</t>
  </si>
  <si>
    <t>182/329</t>
  </si>
  <si>
    <t>933/1855</t>
  </si>
  <si>
    <t>SRBH1234M</t>
  </si>
  <si>
    <t>RA12</t>
  </si>
  <si>
    <t>GMDC/HDG/8699</t>
  </si>
  <si>
    <t>15-07-2023</t>
  </si>
  <si>
    <t>Gita Pani</t>
  </si>
  <si>
    <t>At-Kandhapada, Po-Kandhapada, Ps-Angul, Dist-Angul</t>
  </si>
  <si>
    <t>Kandhapada</t>
  </si>
  <si>
    <t>182/324</t>
  </si>
  <si>
    <t>933/1695</t>
  </si>
  <si>
    <t>GTPN5678P</t>
  </si>
  <si>
    <t>Driver</t>
  </si>
  <si>
    <t>RA13</t>
  </si>
  <si>
    <t>GMDC/HDG/8980</t>
  </si>
  <si>
    <t>14-10-2024</t>
  </si>
  <si>
    <t>Kamal Kumar</t>
  </si>
  <si>
    <t>182/322</t>
  </si>
  <si>
    <t>932/1850</t>
  </si>
  <si>
    <t>Borewell</t>
  </si>
  <si>
    <t>KMKK1234L</t>
  </si>
  <si>
    <t>RA14</t>
  </si>
  <si>
    <t>GMDC/HDG/8275</t>
  </si>
  <si>
    <t>23-09-2023</t>
  </si>
  <si>
    <t>Rajashree Pradhan</t>
  </si>
  <si>
    <t>182/210</t>
  </si>
  <si>
    <t>852/1679</t>
  </si>
  <si>
    <t>SAJS III</t>
  </si>
  <si>
    <t>RJPR5678M</t>
  </si>
  <si>
    <t>RA15</t>
  </si>
  <si>
    <t>GMDC/HDG/4974</t>
  </si>
  <si>
    <t>07-05-2020</t>
  </si>
  <si>
    <t>Prafulla Sahu</t>
  </si>
  <si>
    <t>109/149</t>
  </si>
  <si>
    <t>853/1680</t>
  </si>
  <si>
    <t>CNRB0003371</t>
  </si>
  <si>
    <t>PRSH1234N</t>
  </si>
  <si>
    <t>9th Pass</t>
  </si>
  <si>
    <t>RA16</t>
  </si>
  <si>
    <t>GMDC/HDG/5505</t>
  </si>
  <si>
    <t>28-01-2022</t>
  </si>
  <si>
    <t>Mili Pradhan</t>
  </si>
  <si>
    <t>At-Kulei, Po-Kulei, Ps-Chhendipada, Dist-Angul</t>
  </si>
  <si>
    <t>109/34</t>
  </si>
  <si>
    <t>SAJS II</t>
  </si>
  <si>
    <t>II</t>
  </si>
  <si>
    <t>HDFC0009842</t>
  </si>
  <si>
    <t>MLPR5678K</t>
  </si>
  <si>
    <t>Plus 3</t>
  </si>
  <si>
    <t>RA17</t>
  </si>
  <si>
    <t>GMDC/HDG/5286</t>
  </si>
  <si>
    <t>11-08-2021</t>
  </si>
  <si>
    <t>Sukanti Majhi</t>
  </si>
  <si>
    <t>761/939</t>
  </si>
  <si>
    <t>SKMJ1234P</t>
  </si>
  <si>
    <t>LHC/2023/0789</t>
  </si>
  <si>
    <t>RA18</t>
  </si>
  <si>
    <t>GMDC/HDG/8378</t>
  </si>
  <si>
    <t>20-08-2023</t>
  </si>
  <si>
    <t>Basanta Behera</t>
  </si>
  <si>
    <t>109/79</t>
  </si>
  <si>
    <t>810/885</t>
  </si>
  <si>
    <t>BKSH1234M</t>
  </si>
  <si>
    <t>RA19</t>
  </si>
  <si>
    <t>GMDC/HDG/7273</t>
  </si>
  <si>
    <t>27-09-2021</t>
  </si>
  <si>
    <t>Deepak Sethi</t>
  </si>
  <si>
    <t>109/63</t>
  </si>
  <si>
    <t>SNBH5678P</t>
  </si>
  <si>
    <t>RA20</t>
  </si>
  <si>
    <t>GMDC/HDG/6831</t>
  </si>
  <si>
    <t>28-01-2020</t>
  </si>
  <si>
    <t>Rashmita Rout</t>
  </si>
  <si>
    <t>109/65</t>
  </si>
  <si>
    <t>RMPR1234L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</si>
</sst>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₹&quot;\ #,##0;&quot;₹&quot;\ \-#,##0"/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4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4" fontId="0" fillId="9" borderId="1" xfId="0" applyNumberFormat="1" applyFill="1" applyBorder="1" applyAlignment="1">
      <alignment horizontal="left" vertical="center"/>
    </xf>
    <xf numFmtId="0" fontId="0" fillId="5" borderId="1" xfId="0" applyFill="1" applyBorder="1"/>
    <xf numFmtId="5" fontId="5" fillId="9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" fontId="0" fillId="0" borderId="1" xfId="0" applyNumberFormat="1" applyBorder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74"/>
  <sheetViews>
    <sheetView tabSelected="1" topLeftCell="I1" workbookViewId="0">
      <selection activeCell="F4" sqref="F4"/>
    </sheetView>
  </sheetViews>
  <sheetFormatPr defaultRowHeight="15" x14ac:dyDescent="0.25"/>
  <cols>
    <col min="2" max="2" width="19.7109375" style="33" customWidth="1"/>
    <col min="3" max="3" width="12.5703125" customWidth="1"/>
    <col min="4" max="4" width="17.85546875" style="33" customWidth="1"/>
    <col min="5" max="5" width="19.85546875" style="33" customWidth="1"/>
    <col min="6" max="6" width="22.28515625" customWidth="1"/>
    <col min="8" max="9" width="15.7109375" customWidth="1"/>
    <col min="10" max="11" width="17.5703125" customWidth="1"/>
    <col min="12" max="12" width="15.7109375" customWidth="1"/>
    <col min="13" max="13" width="12" customWidth="1"/>
    <col min="14" max="14" width="17.28515625" customWidth="1"/>
    <col min="19" max="19" width="25.140625" customWidth="1"/>
    <col min="26" max="26" width="9.5703125" bestFit="1" customWidth="1"/>
    <col min="35" max="35" width="17.5703125" customWidth="1"/>
    <col min="36" max="36" width="14.28515625" customWidth="1"/>
    <col min="40" max="40" width="15.7109375" customWidth="1"/>
    <col min="41" max="41" width="13.42578125" customWidth="1"/>
    <col min="42" max="42" width="12.7109375" customWidth="1"/>
    <col min="43" max="43" width="17.85546875" customWidth="1"/>
    <col min="44" max="44" width="12.5703125" customWidth="1"/>
    <col min="47" max="47" width="10.7109375" customWidth="1"/>
    <col min="61" max="61" width="14.5703125" customWidth="1"/>
    <col min="67" max="80" width="20" customWidth="1"/>
    <col min="86" max="86" width="14.7109375" customWidth="1"/>
    <col min="87" max="87" width="12.7109375" customWidth="1"/>
    <col min="88" max="88" width="15.5703125" customWidth="1"/>
    <col min="89" max="89" width="17.5703125" customWidth="1"/>
    <col min="90" max="90" width="14.5703125" customWidth="1"/>
    <col min="91" max="91" width="12.42578125" customWidth="1"/>
    <col min="92" max="92" width="8.7109375" customWidth="1"/>
    <col min="93" max="93" width="10.28515625" customWidth="1"/>
    <col min="94" max="94" width="14" customWidth="1"/>
  </cols>
  <sheetData>
    <row r="1" spans="1:94" x14ac:dyDescent="0.25">
      <c r="A1" s="1">
        <v>1</v>
      </c>
      <c r="B1" s="2">
        <v>2</v>
      </c>
      <c r="C1" s="1">
        <v>3</v>
      </c>
      <c r="D1" s="2">
        <v>4</v>
      </c>
      <c r="E1" s="2">
        <v>5</v>
      </c>
      <c r="F1" s="1">
        <v>6</v>
      </c>
      <c r="G1" s="1">
        <v>7</v>
      </c>
      <c r="H1" s="1">
        <v>8</v>
      </c>
      <c r="I1" s="1"/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/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</row>
    <row r="2" spans="1:94" x14ac:dyDescent="0.25">
      <c r="A2" s="3" t="s">
        <v>0</v>
      </c>
      <c r="B2" s="4" t="s">
        <v>1</v>
      </c>
      <c r="C2" s="3" t="s">
        <v>2</v>
      </c>
      <c r="D2" s="4" t="s">
        <v>3</v>
      </c>
      <c r="E2" s="4" t="s">
        <v>4</v>
      </c>
      <c r="F2" s="3" t="s">
        <v>5</v>
      </c>
      <c r="G2" s="3" t="s">
        <v>6</v>
      </c>
      <c r="H2" s="3" t="s">
        <v>7</v>
      </c>
      <c r="I2" s="3"/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/>
      <c r="AH2" s="3" t="s">
        <v>31</v>
      </c>
      <c r="AI2" s="3" t="s">
        <v>32</v>
      </c>
      <c r="AJ2" s="3" t="s">
        <v>33</v>
      </c>
      <c r="AK2" s="3" t="s">
        <v>34</v>
      </c>
      <c r="AL2" s="3" t="s">
        <v>35</v>
      </c>
      <c r="AM2" s="3" t="s">
        <v>36</v>
      </c>
      <c r="AN2" s="3" t="s">
        <v>37</v>
      </c>
      <c r="AO2" s="3" t="s">
        <v>38</v>
      </c>
      <c r="AP2" s="3" t="s">
        <v>39</v>
      </c>
      <c r="AQ2" s="3" t="s">
        <v>40</v>
      </c>
      <c r="AR2" s="3" t="s">
        <v>41</v>
      </c>
      <c r="AS2" s="3" t="s">
        <v>42</v>
      </c>
      <c r="AT2" s="3" t="s">
        <v>43</v>
      </c>
      <c r="AU2" s="3" t="s">
        <v>44</v>
      </c>
      <c r="AV2" s="3" t="s">
        <v>45</v>
      </c>
      <c r="AW2" s="3" t="s">
        <v>46</v>
      </c>
      <c r="AX2" s="3" t="s">
        <v>47</v>
      </c>
      <c r="AY2" s="3" t="s">
        <v>48</v>
      </c>
      <c r="AZ2" s="3" t="s">
        <v>49</v>
      </c>
      <c r="BA2" s="3" t="s">
        <v>50</v>
      </c>
      <c r="BB2" s="3" t="s">
        <v>51</v>
      </c>
      <c r="BC2" s="3" t="s">
        <v>52</v>
      </c>
      <c r="BD2" s="3" t="s">
        <v>53</v>
      </c>
      <c r="BE2" s="3" t="s">
        <v>54</v>
      </c>
      <c r="BF2" s="3" t="s">
        <v>55</v>
      </c>
      <c r="BG2" s="3" t="s">
        <v>56</v>
      </c>
      <c r="BH2" s="3" t="s">
        <v>57</v>
      </c>
      <c r="BI2" s="3" t="s">
        <v>58</v>
      </c>
      <c r="BJ2" s="3" t="s">
        <v>59</v>
      </c>
      <c r="BK2" s="3" t="s">
        <v>60</v>
      </c>
      <c r="BL2" s="3" t="s">
        <v>61</v>
      </c>
      <c r="BM2" s="3" t="s">
        <v>62</v>
      </c>
      <c r="BN2" s="3" t="s">
        <v>63</v>
      </c>
      <c r="BO2" s="3" t="s">
        <v>64</v>
      </c>
      <c r="BP2" s="3" t="s">
        <v>65</v>
      </c>
      <c r="BQ2" s="3" t="s">
        <v>66</v>
      </c>
      <c r="BR2" s="3" t="s">
        <v>67</v>
      </c>
      <c r="BS2" s="3" t="s">
        <v>68</v>
      </c>
      <c r="BT2" s="3" t="s">
        <v>69</v>
      </c>
      <c r="BU2" s="3" t="s">
        <v>70</v>
      </c>
      <c r="BV2" s="3" t="s">
        <v>71</v>
      </c>
      <c r="BW2" s="3" t="s">
        <v>72</v>
      </c>
      <c r="BX2" s="3" t="s">
        <v>73</v>
      </c>
      <c r="BY2" s="3" t="s">
        <v>74</v>
      </c>
      <c r="BZ2" s="3" t="s">
        <v>75</v>
      </c>
      <c r="CA2" s="3" t="s">
        <v>76</v>
      </c>
      <c r="CB2" s="3" t="s">
        <v>77</v>
      </c>
      <c r="CC2" s="3" t="s">
        <v>78</v>
      </c>
      <c r="CD2" s="3" t="s">
        <v>79</v>
      </c>
      <c r="CE2" s="3" t="s">
        <v>80</v>
      </c>
      <c r="CF2" s="3" t="s">
        <v>81</v>
      </c>
      <c r="CG2" s="3" t="s">
        <v>82</v>
      </c>
      <c r="CH2" s="3" t="s">
        <v>83</v>
      </c>
      <c r="CI2" s="3" t="s">
        <v>84</v>
      </c>
      <c r="CJ2" s="3" t="s">
        <v>85</v>
      </c>
      <c r="CK2" s="3" t="s">
        <v>86</v>
      </c>
      <c r="CL2" s="3" t="s">
        <v>87</v>
      </c>
      <c r="CM2" s="3" t="s">
        <v>88</v>
      </c>
      <c r="CN2" s="3" t="s">
        <v>89</v>
      </c>
      <c r="CO2" s="3" t="s">
        <v>90</v>
      </c>
      <c r="CP2" s="3" t="s">
        <v>91</v>
      </c>
    </row>
    <row r="3" spans="1:94" x14ac:dyDescent="0.25">
      <c r="A3" s="3" t="s">
        <v>92</v>
      </c>
      <c r="B3" s="4" t="s">
        <v>92</v>
      </c>
      <c r="C3" s="3" t="s">
        <v>92</v>
      </c>
      <c r="D3" s="4" t="s">
        <v>93</v>
      </c>
      <c r="E3" s="4" t="s">
        <v>93</v>
      </c>
      <c r="F3" s="3" t="s">
        <v>93</v>
      </c>
      <c r="G3" s="3" t="s">
        <v>93</v>
      </c>
      <c r="H3" s="3" t="s">
        <v>93</v>
      </c>
      <c r="I3" s="3"/>
      <c r="J3" s="3" t="s">
        <v>93</v>
      </c>
      <c r="K3" s="3" t="s">
        <v>93</v>
      </c>
      <c r="L3" s="3" t="s">
        <v>93</v>
      </c>
      <c r="M3" s="3" t="s">
        <v>93</v>
      </c>
      <c r="N3" s="3" t="s">
        <v>93</v>
      </c>
      <c r="O3" s="3" t="s">
        <v>93</v>
      </c>
      <c r="P3" s="3" t="s">
        <v>93</v>
      </c>
      <c r="Q3" s="3" t="s">
        <v>93</v>
      </c>
      <c r="R3" s="3" t="s">
        <v>94</v>
      </c>
      <c r="S3" s="3" t="s">
        <v>94</v>
      </c>
      <c r="T3" s="3" t="s">
        <v>94</v>
      </c>
      <c r="U3" s="3" t="s">
        <v>94</v>
      </c>
      <c r="V3" s="3" t="s">
        <v>94</v>
      </c>
      <c r="W3" s="3" t="s">
        <v>94</v>
      </c>
      <c r="X3" s="3" t="s">
        <v>94</v>
      </c>
      <c r="Y3" s="3" t="s">
        <v>94</v>
      </c>
      <c r="Z3" s="3" t="s">
        <v>94</v>
      </c>
      <c r="AA3" s="3" t="s">
        <v>94</v>
      </c>
      <c r="AB3" s="3" t="s">
        <v>94</v>
      </c>
      <c r="AC3" s="3" t="s">
        <v>94</v>
      </c>
      <c r="AD3" s="3" t="s">
        <v>94</v>
      </c>
      <c r="AE3" s="3" t="s">
        <v>94</v>
      </c>
      <c r="AF3" s="3" t="s">
        <v>94</v>
      </c>
      <c r="AG3" s="3"/>
      <c r="AH3" s="3" t="s">
        <v>94</v>
      </c>
      <c r="AI3" s="3" t="s">
        <v>94</v>
      </c>
      <c r="AJ3" s="3" t="s">
        <v>94</v>
      </c>
      <c r="AK3" s="3" t="s">
        <v>94</v>
      </c>
      <c r="AL3" s="3" t="s">
        <v>94</v>
      </c>
      <c r="AM3" s="3" t="s">
        <v>94</v>
      </c>
      <c r="AN3" s="3" t="s">
        <v>95</v>
      </c>
      <c r="AO3" s="3" t="s">
        <v>95</v>
      </c>
      <c r="AP3" s="3" t="s">
        <v>95</v>
      </c>
      <c r="AQ3" s="3" t="s">
        <v>96</v>
      </c>
      <c r="AR3" s="3" t="s">
        <v>96</v>
      </c>
      <c r="AS3" s="3" t="s">
        <v>96</v>
      </c>
      <c r="AT3" s="3" t="s">
        <v>96</v>
      </c>
      <c r="AU3" s="3" t="s">
        <v>96</v>
      </c>
      <c r="AV3" s="3" t="s">
        <v>96</v>
      </c>
      <c r="AW3" s="3" t="s">
        <v>96</v>
      </c>
      <c r="AX3" s="3" t="s">
        <v>96</v>
      </c>
      <c r="AY3" s="3" t="s">
        <v>96</v>
      </c>
      <c r="AZ3" s="3" t="s">
        <v>96</v>
      </c>
      <c r="BA3" s="3" t="s">
        <v>97</v>
      </c>
      <c r="BB3" s="3" t="s">
        <v>97</v>
      </c>
      <c r="BC3" s="3" t="s">
        <v>97</v>
      </c>
      <c r="BD3" s="3" t="s">
        <v>97</v>
      </c>
      <c r="BE3" s="3" t="s">
        <v>97</v>
      </c>
      <c r="BF3" s="3" t="s">
        <v>97</v>
      </c>
      <c r="BG3" s="3" t="s">
        <v>97</v>
      </c>
      <c r="BH3" s="3" t="s">
        <v>97</v>
      </c>
      <c r="BI3" s="3" t="s">
        <v>97</v>
      </c>
      <c r="BJ3" s="3" t="s">
        <v>98</v>
      </c>
      <c r="BK3" s="3" t="s">
        <v>98</v>
      </c>
      <c r="BL3" s="3" t="s">
        <v>98</v>
      </c>
      <c r="BM3" s="3" t="s">
        <v>98</v>
      </c>
      <c r="BN3" s="3" t="s">
        <v>98</v>
      </c>
      <c r="BO3" s="3" t="s">
        <v>99</v>
      </c>
      <c r="BP3" s="3" t="s">
        <v>99</v>
      </c>
      <c r="BQ3" s="3" t="s">
        <v>99</v>
      </c>
      <c r="BR3" s="3" t="s">
        <v>99</v>
      </c>
      <c r="BS3" s="3" t="s">
        <v>99</v>
      </c>
      <c r="BT3" s="3" t="s">
        <v>99</v>
      </c>
      <c r="BU3" s="3" t="s">
        <v>99</v>
      </c>
      <c r="BV3" s="3" t="s">
        <v>99</v>
      </c>
      <c r="BW3" s="3" t="s">
        <v>99</v>
      </c>
      <c r="BX3" s="3" t="s">
        <v>99</v>
      </c>
      <c r="BY3" s="3" t="s">
        <v>99</v>
      </c>
      <c r="BZ3" s="3" t="s">
        <v>99</v>
      </c>
      <c r="CA3" s="3" t="s">
        <v>99</v>
      </c>
      <c r="CB3" s="3" t="s">
        <v>99</v>
      </c>
      <c r="CC3" s="3" t="s">
        <v>100</v>
      </c>
      <c r="CD3" s="3" t="s">
        <v>100</v>
      </c>
      <c r="CE3" s="3" t="s">
        <v>100</v>
      </c>
      <c r="CF3" s="3" t="s">
        <v>100</v>
      </c>
      <c r="CG3" s="3" t="s">
        <v>100</v>
      </c>
      <c r="CH3" s="3" t="s">
        <v>101</v>
      </c>
      <c r="CI3" s="3" t="s">
        <v>101</v>
      </c>
      <c r="CJ3" s="3" t="s">
        <v>101</v>
      </c>
      <c r="CK3" s="3" t="s">
        <v>102</v>
      </c>
      <c r="CL3" s="3" t="s">
        <v>102</v>
      </c>
      <c r="CM3" s="3" t="s">
        <v>102</v>
      </c>
      <c r="CN3" s="3" t="s">
        <v>102</v>
      </c>
      <c r="CO3" s="3" t="s">
        <v>102</v>
      </c>
      <c r="CP3" s="3" t="s">
        <v>103</v>
      </c>
    </row>
    <row r="4" spans="1:94" ht="102" x14ac:dyDescent="0.25">
      <c r="A4" s="5" t="s">
        <v>104</v>
      </c>
      <c r="B4" s="6" t="s">
        <v>105</v>
      </c>
      <c r="C4" s="5" t="s">
        <v>106</v>
      </c>
      <c r="D4" s="6" t="s">
        <v>107</v>
      </c>
      <c r="E4" s="6" t="s">
        <v>108</v>
      </c>
      <c r="F4" s="7" t="s">
        <v>109</v>
      </c>
      <c r="G4" s="1" t="s">
        <v>110</v>
      </c>
      <c r="H4" s="5" t="s">
        <v>111</v>
      </c>
      <c r="I4" s="5" t="s">
        <v>112</v>
      </c>
      <c r="J4" s="5" t="s">
        <v>113</v>
      </c>
      <c r="K4" s="5" t="s">
        <v>114</v>
      </c>
      <c r="L4" s="5" t="s">
        <v>115</v>
      </c>
      <c r="M4" s="5" t="s">
        <v>116</v>
      </c>
      <c r="N4" s="5" t="s">
        <v>117</v>
      </c>
      <c r="O4" s="5" t="s">
        <v>118</v>
      </c>
      <c r="P4" s="5" t="s">
        <v>119</v>
      </c>
      <c r="Q4" s="5" t="s">
        <v>120</v>
      </c>
      <c r="R4" s="8" t="s">
        <v>121</v>
      </c>
      <c r="S4" s="8" t="s">
        <v>122</v>
      </c>
      <c r="T4" s="8" t="s">
        <v>123</v>
      </c>
      <c r="U4" s="8" t="s">
        <v>124</v>
      </c>
      <c r="V4" s="9" t="s">
        <v>125</v>
      </c>
      <c r="W4" s="9" t="s">
        <v>126</v>
      </c>
      <c r="X4" s="9" t="s">
        <v>127</v>
      </c>
      <c r="Y4" s="10" t="s">
        <v>128</v>
      </c>
      <c r="Z4" s="9" t="s">
        <v>129</v>
      </c>
      <c r="AA4" s="10" t="s">
        <v>130</v>
      </c>
      <c r="AB4" s="9" t="s">
        <v>131</v>
      </c>
      <c r="AC4" s="10" t="s">
        <v>132</v>
      </c>
      <c r="AD4" s="10" t="s">
        <v>133</v>
      </c>
      <c r="AE4" s="9" t="s">
        <v>134</v>
      </c>
      <c r="AF4" s="9" t="s">
        <v>135</v>
      </c>
      <c r="AG4" s="11" t="s">
        <v>136</v>
      </c>
      <c r="AH4" s="9" t="s">
        <v>137</v>
      </c>
      <c r="AI4" s="9" t="s">
        <v>138</v>
      </c>
      <c r="AJ4" s="9" t="s">
        <v>139</v>
      </c>
      <c r="AK4" s="9" t="s">
        <v>140</v>
      </c>
      <c r="AL4" s="12" t="s">
        <v>141</v>
      </c>
      <c r="AM4" s="12" t="s">
        <v>142</v>
      </c>
      <c r="AN4" s="13" t="s">
        <v>143</v>
      </c>
      <c r="AO4" s="13" t="s">
        <v>144</v>
      </c>
      <c r="AP4" s="14" t="s">
        <v>145</v>
      </c>
      <c r="AQ4" s="7" t="s">
        <v>146</v>
      </c>
      <c r="AR4" s="7" t="s">
        <v>147</v>
      </c>
      <c r="AS4" s="7" t="s">
        <v>148</v>
      </c>
      <c r="AT4" s="7" t="s">
        <v>149</v>
      </c>
      <c r="AU4" s="15" t="s">
        <v>150</v>
      </c>
      <c r="AV4" s="15" t="s">
        <v>151</v>
      </c>
      <c r="AW4" s="15" t="s">
        <v>152</v>
      </c>
      <c r="AX4" s="15" t="s">
        <v>153</v>
      </c>
      <c r="AY4" s="15" t="s">
        <v>154</v>
      </c>
      <c r="AZ4" s="7" t="s">
        <v>155</v>
      </c>
      <c r="BA4" s="15" t="s">
        <v>156</v>
      </c>
      <c r="BB4" s="15" t="s">
        <v>157</v>
      </c>
      <c r="BC4" s="15" t="s">
        <v>158</v>
      </c>
      <c r="BD4" s="15" t="s">
        <v>159</v>
      </c>
      <c r="BE4" s="15" t="s">
        <v>160</v>
      </c>
      <c r="BF4" s="15" t="s">
        <v>161</v>
      </c>
      <c r="BG4" s="15" t="s">
        <v>162</v>
      </c>
      <c r="BH4" s="15" t="s">
        <v>163</v>
      </c>
      <c r="BI4" s="7" t="s">
        <v>164</v>
      </c>
      <c r="BJ4" s="7" t="s">
        <v>165</v>
      </c>
      <c r="BK4" s="7" t="s">
        <v>166</v>
      </c>
      <c r="BL4" s="7" t="s">
        <v>167</v>
      </c>
      <c r="BM4" s="7" t="s">
        <v>168</v>
      </c>
      <c r="BN4" s="7" t="s">
        <v>169</v>
      </c>
      <c r="BO4" s="16" t="s">
        <v>170</v>
      </c>
      <c r="BP4" s="16" t="s">
        <v>171</v>
      </c>
      <c r="BQ4" s="16" t="s">
        <v>172</v>
      </c>
      <c r="BR4" s="16" t="s">
        <v>173</v>
      </c>
      <c r="BS4" s="16" t="s">
        <v>174</v>
      </c>
      <c r="BT4" s="16" t="s">
        <v>175</v>
      </c>
      <c r="BU4" s="16" t="s">
        <v>176</v>
      </c>
      <c r="BV4" s="16" t="s">
        <v>177</v>
      </c>
      <c r="BW4" s="16" t="s">
        <v>178</v>
      </c>
      <c r="BX4" s="16" t="s">
        <v>179</v>
      </c>
      <c r="BY4" s="16" t="s">
        <v>180</v>
      </c>
      <c r="BZ4" s="16" t="s">
        <v>181</v>
      </c>
      <c r="CA4" s="16" t="s">
        <v>182</v>
      </c>
      <c r="CB4" s="16" t="s">
        <v>183</v>
      </c>
      <c r="CC4" s="7" t="s">
        <v>184</v>
      </c>
      <c r="CD4" s="7" t="s">
        <v>185</v>
      </c>
      <c r="CE4" s="7" t="s">
        <v>186</v>
      </c>
      <c r="CF4" s="7" t="s">
        <v>187</v>
      </c>
      <c r="CG4" s="7" t="s">
        <v>188</v>
      </c>
      <c r="CH4" s="7" t="s">
        <v>189</v>
      </c>
      <c r="CI4" s="7" t="s">
        <v>190</v>
      </c>
      <c r="CJ4" s="7" t="s">
        <v>191</v>
      </c>
      <c r="CK4" s="17" t="s">
        <v>192</v>
      </c>
      <c r="CL4" s="17" t="s">
        <v>193</v>
      </c>
      <c r="CM4" s="17" t="s">
        <v>194</v>
      </c>
      <c r="CN4" s="17" t="s">
        <v>195</v>
      </c>
      <c r="CO4" s="17" t="s">
        <v>196</v>
      </c>
      <c r="CP4" s="17" t="s">
        <v>197</v>
      </c>
    </row>
    <row r="5" spans="1:94" ht="30" x14ac:dyDescent="0.25">
      <c r="A5" s="1" t="s">
        <v>198</v>
      </c>
      <c r="B5" s="2" t="s">
        <v>198</v>
      </c>
      <c r="C5" s="1" t="s">
        <v>199</v>
      </c>
      <c r="D5" s="1" t="s">
        <v>200</v>
      </c>
      <c r="E5" s="1" t="s">
        <v>200</v>
      </c>
      <c r="F5" s="7" t="s">
        <v>200</v>
      </c>
      <c r="G5" s="1" t="s">
        <v>201</v>
      </c>
      <c r="H5" s="1" t="s">
        <v>200</v>
      </c>
      <c r="I5" s="1"/>
      <c r="J5" s="1" t="s">
        <v>200</v>
      </c>
      <c r="K5" s="1" t="s">
        <v>200</v>
      </c>
      <c r="L5" s="1" t="s">
        <v>198</v>
      </c>
      <c r="M5" s="1" t="s">
        <v>198</v>
      </c>
      <c r="N5" s="1" t="s">
        <v>198</v>
      </c>
      <c r="O5" s="1" t="s">
        <v>200</v>
      </c>
      <c r="P5" s="1" t="s">
        <v>200</v>
      </c>
      <c r="Q5" s="1" t="s">
        <v>200</v>
      </c>
      <c r="R5" s="18" t="s">
        <v>202</v>
      </c>
      <c r="S5" s="18" t="s">
        <v>202</v>
      </c>
      <c r="T5" s="18" t="s">
        <v>202</v>
      </c>
      <c r="U5" s="18" t="s">
        <v>202</v>
      </c>
      <c r="V5" s="1" t="s">
        <v>203</v>
      </c>
      <c r="W5" s="1" t="s">
        <v>203</v>
      </c>
      <c r="X5" s="1" t="s">
        <v>203</v>
      </c>
      <c r="Y5" s="18" t="s">
        <v>202</v>
      </c>
      <c r="Z5" s="1" t="s">
        <v>203</v>
      </c>
      <c r="AA5" s="18" t="s">
        <v>202</v>
      </c>
      <c r="AB5" s="1" t="s">
        <v>203</v>
      </c>
      <c r="AC5" s="1" t="s">
        <v>200</v>
      </c>
      <c r="AD5" s="1" t="s">
        <v>203</v>
      </c>
      <c r="AE5" s="1" t="s">
        <v>203</v>
      </c>
      <c r="AF5" s="1" t="s">
        <v>203</v>
      </c>
      <c r="AG5" s="1"/>
      <c r="AH5" s="1" t="s">
        <v>203</v>
      </c>
      <c r="AI5" s="1" t="s">
        <v>203</v>
      </c>
      <c r="AJ5" s="1" t="s">
        <v>203</v>
      </c>
      <c r="AK5" s="1" t="s">
        <v>200</v>
      </c>
      <c r="AL5" s="1" t="s">
        <v>200</v>
      </c>
      <c r="AM5" s="1" t="s">
        <v>200</v>
      </c>
      <c r="AN5" s="1" t="s">
        <v>198</v>
      </c>
      <c r="AO5" s="1" t="s">
        <v>200</v>
      </c>
      <c r="AP5" s="1" t="s">
        <v>200</v>
      </c>
      <c r="AQ5" s="1" t="s">
        <v>198</v>
      </c>
      <c r="AR5" s="1" t="s">
        <v>198</v>
      </c>
      <c r="AS5" s="7" t="s">
        <v>202</v>
      </c>
      <c r="AT5" s="7" t="s">
        <v>200</v>
      </c>
      <c r="AU5" s="7" t="s">
        <v>200</v>
      </c>
      <c r="AV5" s="7" t="s">
        <v>200</v>
      </c>
      <c r="AW5" s="7" t="s">
        <v>200</v>
      </c>
      <c r="AX5" s="7" t="s">
        <v>202</v>
      </c>
      <c r="AY5" s="7" t="s">
        <v>200</v>
      </c>
      <c r="AZ5" s="7" t="s">
        <v>200</v>
      </c>
      <c r="BA5" s="7" t="s">
        <v>202</v>
      </c>
      <c r="BB5" s="7" t="s">
        <v>202</v>
      </c>
      <c r="BC5" s="7" t="s">
        <v>202</v>
      </c>
      <c r="BD5" s="7" t="s">
        <v>202</v>
      </c>
      <c r="BE5" s="7" t="s">
        <v>202</v>
      </c>
      <c r="BF5" s="7" t="s">
        <v>202</v>
      </c>
      <c r="BG5" s="7" t="s">
        <v>202</v>
      </c>
      <c r="BH5" s="7" t="s">
        <v>202</v>
      </c>
      <c r="BI5" s="7" t="s">
        <v>200</v>
      </c>
      <c r="BJ5" s="7" t="s">
        <v>198</v>
      </c>
      <c r="BK5" s="7" t="s">
        <v>199</v>
      </c>
      <c r="BL5" s="7" t="s">
        <v>200</v>
      </c>
      <c r="BM5" s="7" t="s">
        <v>200</v>
      </c>
      <c r="BN5" s="7" t="s">
        <v>200</v>
      </c>
      <c r="BO5" s="7" t="s">
        <v>198</v>
      </c>
      <c r="BP5" s="7" t="s">
        <v>198</v>
      </c>
      <c r="BQ5" s="7" t="s">
        <v>198</v>
      </c>
      <c r="BR5" s="7" t="s">
        <v>198</v>
      </c>
      <c r="BS5" s="7" t="s">
        <v>198</v>
      </c>
      <c r="BT5" s="7" t="s">
        <v>198</v>
      </c>
      <c r="BU5" s="7" t="s">
        <v>198</v>
      </c>
      <c r="BV5" s="7" t="s">
        <v>200</v>
      </c>
      <c r="BW5" s="7" t="s">
        <v>198</v>
      </c>
      <c r="BX5" s="7" t="s">
        <v>198</v>
      </c>
      <c r="BY5" s="7" t="s">
        <v>198</v>
      </c>
      <c r="BZ5" s="7" t="s">
        <v>198</v>
      </c>
      <c r="CA5" s="7" t="s">
        <v>198</v>
      </c>
      <c r="CB5" s="7" t="s">
        <v>200</v>
      </c>
      <c r="CC5" s="7" t="s">
        <v>198</v>
      </c>
      <c r="CD5" s="7" t="s">
        <v>199</v>
      </c>
      <c r="CE5" s="7" t="s">
        <v>200</v>
      </c>
      <c r="CF5" s="7" t="s">
        <v>200</v>
      </c>
      <c r="CG5" s="7" t="s">
        <v>200</v>
      </c>
      <c r="CH5" s="7" t="s">
        <v>204</v>
      </c>
      <c r="CI5" s="7" t="s">
        <v>199</v>
      </c>
      <c r="CJ5" s="7" t="s">
        <v>205</v>
      </c>
      <c r="CK5" s="7" t="s">
        <v>205</v>
      </c>
      <c r="CL5" s="7" t="s">
        <v>205</v>
      </c>
      <c r="CM5" s="7" t="s">
        <v>205</v>
      </c>
      <c r="CN5" s="7" t="s">
        <v>205</v>
      </c>
      <c r="CO5" s="7" t="s">
        <v>205</v>
      </c>
      <c r="CP5" s="7" t="s">
        <v>204</v>
      </c>
    </row>
    <row r="6" spans="1:94" x14ac:dyDescent="0.25">
      <c r="A6" s="19" t="s">
        <v>206</v>
      </c>
      <c r="B6" t="s">
        <v>207</v>
      </c>
      <c r="C6" s="19" t="s">
        <v>208</v>
      </c>
      <c r="D6" s="20" t="s">
        <v>209</v>
      </c>
      <c r="E6" s="20" t="s">
        <v>209</v>
      </c>
      <c r="F6" s="19" t="s">
        <v>210</v>
      </c>
      <c r="G6" s="19" t="s">
        <v>211</v>
      </c>
      <c r="H6" s="19" t="s">
        <v>212</v>
      </c>
      <c r="I6" s="19"/>
      <c r="J6" s="19" t="s">
        <v>213</v>
      </c>
      <c r="K6" s="19" t="s">
        <v>214</v>
      </c>
      <c r="L6" s="19" t="s">
        <v>214</v>
      </c>
      <c r="M6" s="21" t="s">
        <v>215</v>
      </c>
      <c r="N6" s="21" t="s">
        <v>216</v>
      </c>
      <c r="O6" s="21" t="s">
        <v>217</v>
      </c>
      <c r="P6" s="22" t="s">
        <v>218</v>
      </c>
      <c r="Q6" s="23"/>
      <c r="R6" s="24">
        <v>0.84204285714285698</v>
      </c>
      <c r="S6" s="25">
        <v>0.34078571428571403</v>
      </c>
      <c r="T6" s="4">
        <v>0.8095</v>
      </c>
      <c r="U6" s="4">
        <v>2.0003000000000002</v>
      </c>
      <c r="V6" s="19">
        <v>2500000</v>
      </c>
      <c r="W6" s="19">
        <v>1509200</v>
      </c>
      <c r="X6" s="26">
        <f>W6*2</f>
        <v>3018400</v>
      </c>
      <c r="Y6" s="19">
        <v>17</v>
      </c>
      <c r="Z6" s="19">
        <v>25000</v>
      </c>
      <c r="AA6" s="19">
        <v>2</v>
      </c>
      <c r="AB6" s="19">
        <v>100000</v>
      </c>
      <c r="AC6" s="19"/>
      <c r="AD6" s="19"/>
      <c r="AE6" s="19">
        <v>3143400</v>
      </c>
      <c r="AF6" s="19">
        <v>3143400</v>
      </c>
      <c r="AG6" s="26">
        <v>20</v>
      </c>
      <c r="AH6" s="26">
        <f>((W6*12%)/365)*AG6</f>
        <v>9923.5068493150684</v>
      </c>
      <c r="AI6" s="27">
        <v>6310800</v>
      </c>
      <c r="AJ6" s="27">
        <v>6310800</v>
      </c>
      <c r="AK6" s="19"/>
      <c r="AL6" s="19"/>
      <c r="AM6" s="19"/>
      <c r="AN6" s="28">
        <v>5615096382</v>
      </c>
      <c r="AO6" s="29" t="s">
        <v>219</v>
      </c>
      <c r="AP6" s="29" t="s">
        <v>220</v>
      </c>
      <c r="AQ6" s="28">
        <v>586532158526</v>
      </c>
      <c r="AR6" s="19" t="s">
        <v>221</v>
      </c>
      <c r="AS6" s="19">
        <v>53</v>
      </c>
      <c r="AT6" s="19" t="s">
        <v>222</v>
      </c>
      <c r="AU6" s="19" t="s">
        <v>223</v>
      </c>
      <c r="AV6" s="19" t="s">
        <v>224</v>
      </c>
      <c r="AW6" s="19" t="s">
        <v>225</v>
      </c>
      <c r="AX6" s="19">
        <v>60000</v>
      </c>
      <c r="AY6" s="19"/>
      <c r="AZ6" s="19"/>
      <c r="BA6" s="19">
        <v>5</v>
      </c>
      <c r="BB6" s="19">
        <v>2</v>
      </c>
      <c r="BC6" s="19">
        <v>0</v>
      </c>
      <c r="BD6" s="19">
        <v>1</v>
      </c>
      <c r="BE6" s="19">
        <v>0</v>
      </c>
      <c r="BF6" s="19">
        <v>0</v>
      </c>
      <c r="BG6" s="19">
        <v>0</v>
      </c>
      <c r="BH6" s="19">
        <v>0</v>
      </c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</row>
    <row r="7" spans="1:94" x14ac:dyDescent="0.25">
      <c r="A7" s="19" t="s">
        <v>226</v>
      </c>
      <c r="B7" t="s">
        <v>227</v>
      </c>
      <c r="C7" s="19" t="s">
        <v>228</v>
      </c>
      <c r="D7" s="20" t="s">
        <v>229</v>
      </c>
      <c r="E7" s="20" t="s">
        <v>229</v>
      </c>
      <c r="F7" s="19" t="s">
        <v>230</v>
      </c>
      <c r="G7" s="19" t="s">
        <v>231</v>
      </c>
      <c r="H7" s="19" t="s">
        <v>232</v>
      </c>
      <c r="I7" s="19"/>
      <c r="J7" s="19" t="s">
        <v>233</v>
      </c>
      <c r="K7" s="19" t="s">
        <v>214</v>
      </c>
      <c r="L7" s="19" t="s">
        <v>214</v>
      </c>
      <c r="M7" s="21" t="s">
        <v>234</v>
      </c>
      <c r="N7" s="21" t="s">
        <v>235</v>
      </c>
      <c r="O7" s="21" t="s">
        <v>217</v>
      </c>
      <c r="P7" s="22" t="s">
        <v>218</v>
      </c>
      <c r="Q7" s="23"/>
      <c r="R7" s="30">
        <v>0.91332857142857105</v>
      </c>
      <c r="S7" s="31">
        <v>0.36962499999999998</v>
      </c>
      <c r="T7" s="4">
        <v>1.6E-2</v>
      </c>
      <c r="U7" s="4">
        <v>3.95E-2</v>
      </c>
      <c r="V7" s="19">
        <v>3200000</v>
      </c>
      <c r="W7" s="19">
        <v>1100830</v>
      </c>
      <c r="X7" s="19">
        <v>2201660</v>
      </c>
      <c r="Y7" s="19">
        <v>12</v>
      </c>
      <c r="Z7" s="19">
        <v>15700</v>
      </c>
      <c r="AA7" s="19">
        <v>5</v>
      </c>
      <c r="AB7" s="19">
        <v>62800</v>
      </c>
      <c r="AC7" s="19"/>
      <c r="AD7" s="19"/>
      <c r="AE7" s="19">
        <v>2280160</v>
      </c>
      <c r="AF7" s="19">
        <v>2280160</v>
      </c>
      <c r="AG7" s="19"/>
      <c r="AH7" s="19">
        <v>20000</v>
      </c>
      <c r="AI7" s="27">
        <v>4600320</v>
      </c>
      <c r="AJ7" s="27">
        <v>4600320</v>
      </c>
      <c r="AK7" s="19"/>
      <c r="AL7" s="19"/>
      <c r="AM7" s="19"/>
      <c r="AN7" s="28">
        <v>18389398239</v>
      </c>
      <c r="AO7" s="29" t="s">
        <v>236</v>
      </c>
      <c r="AP7" s="29" t="s">
        <v>237</v>
      </c>
      <c r="AQ7" s="28">
        <v>785412569856</v>
      </c>
      <c r="AR7" s="19" t="s">
        <v>238</v>
      </c>
      <c r="AS7" s="19">
        <v>52</v>
      </c>
      <c r="AT7" s="19" t="s">
        <v>239</v>
      </c>
      <c r="AU7" s="19" t="s">
        <v>240</v>
      </c>
      <c r="AV7" s="19" t="s">
        <v>241</v>
      </c>
      <c r="AW7" s="19" t="s">
        <v>242</v>
      </c>
      <c r="AX7" s="19">
        <v>45000</v>
      </c>
      <c r="AY7" s="19"/>
      <c r="AZ7" s="19"/>
      <c r="BA7" s="19">
        <v>4</v>
      </c>
      <c r="BB7" s="19">
        <v>3</v>
      </c>
      <c r="BC7" s="19">
        <v>2</v>
      </c>
      <c r="BD7" s="19">
        <v>2</v>
      </c>
      <c r="BE7" s="19">
        <v>0</v>
      </c>
      <c r="BF7" s="19">
        <v>0</v>
      </c>
      <c r="BG7" s="19">
        <v>0</v>
      </c>
      <c r="BH7" s="19">
        <v>0</v>
      </c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</row>
    <row r="8" spans="1:94" x14ac:dyDescent="0.25">
      <c r="A8" s="19" t="s">
        <v>243</v>
      </c>
      <c r="B8" t="s">
        <v>244</v>
      </c>
      <c r="C8" s="19" t="s">
        <v>245</v>
      </c>
      <c r="D8" s="20" t="s">
        <v>246</v>
      </c>
      <c r="E8" s="20" t="s">
        <v>246</v>
      </c>
      <c r="F8" s="19" t="s">
        <v>247</v>
      </c>
      <c r="G8" s="19" t="s">
        <v>211</v>
      </c>
      <c r="H8" s="19" t="s">
        <v>248</v>
      </c>
      <c r="I8" s="19"/>
      <c r="J8" s="19" t="s">
        <v>214</v>
      </c>
      <c r="K8" s="19" t="s">
        <v>214</v>
      </c>
      <c r="L8" s="19" t="s">
        <v>214</v>
      </c>
      <c r="M8" s="21" t="s">
        <v>249</v>
      </c>
      <c r="N8" s="21" t="s">
        <v>250</v>
      </c>
      <c r="O8" s="21" t="s">
        <v>217</v>
      </c>
      <c r="P8" s="22" t="s">
        <v>218</v>
      </c>
      <c r="Q8" s="23"/>
      <c r="R8" s="25">
        <v>0.984614285714286</v>
      </c>
      <c r="S8" s="25">
        <v>0.39846428571428499</v>
      </c>
      <c r="T8" s="4">
        <v>1.6E-2</v>
      </c>
      <c r="U8" s="4">
        <v>3.95E-2</v>
      </c>
      <c r="V8" s="19">
        <v>2700000</v>
      </c>
      <c r="W8" s="19">
        <v>1480050</v>
      </c>
      <c r="X8" s="19">
        <v>2960100</v>
      </c>
      <c r="Y8" s="19">
        <v>3</v>
      </c>
      <c r="Z8" s="19">
        <v>4500</v>
      </c>
      <c r="AA8" s="19">
        <v>3</v>
      </c>
      <c r="AB8" s="19">
        <v>18000</v>
      </c>
      <c r="AC8" s="19"/>
      <c r="AD8" s="19"/>
      <c r="AE8" s="19">
        <v>2982600</v>
      </c>
      <c r="AF8" s="19">
        <v>2982600</v>
      </c>
      <c r="AG8" s="19"/>
      <c r="AH8" s="19">
        <v>21000</v>
      </c>
      <c r="AI8" s="27">
        <v>6007200</v>
      </c>
      <c r="AJ8" s="27">
        <v>6007200</v>
      </c>
      <c r="AK8" s="19"/>
      <c r="AL8" s="19"/>
      <c r="AM8" s="19"/>
      <c r="AN8" s="28">
        <v>31163700096</v>
      </c>
      <c r="AO8" s="29" t="s">
        <v>251</v>
      </c>
      <c r="AP8" s="29" t="s">
        <v>252</v>
      </c>
      <c r="AQ8" s="28">
        <v>963258741258</v>
      </c>
      <c r="AR8" s="19" t="s">
        <v>253</v>
      </c>
      <c r="AS8" s="19">
        <v>66</v>
      </c>
      <c r="AT8" s="19" t="s">
        <v>254</v>
      </c>
      <c r="AU8" s="19" t="s">
        <v>223</v>
      </c>
      <c r="AV8" s="19" t="s">
        <v>255</v>
      </c>
      <c r="AW8" s="19" t="s">
        <v>242</v>
      </c>
      <c r="AX8" s="19">
        <v>100000</v>
      </c>
      <c r="AY8" s="19"/>
      <c r="AZ8" s="19"/>
      <c r="BA8" s="19">
        <v>6</v>
      </c>
      <c r="BB8" s="19">
        <v>2</v>
      </c>
      <c r="BC8" s="19">
        <v>1</v>
      </c>
      <c r="BD8" s="19">
        <v>1</v>
      </c>
      <c r="BE8" s="19">
        <v>0</v>
      </c>
      <c r="BF8" s="19">
        <v>0</v>
      </c>
      <c r="BG8" s="19">
        <v>0</v>
      </c>
      <c r="BH8" s="19">
        <v>0</v>
      </c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</row>
    <row r="9" spans="1:94" x14ac:dyDescent="0.25">
      <c r="A9" s="19" t="s">
        <v>256</v>
      </c>
      <c r="B9" t="s">
        <v>257</v>
      </c>
      <c r="C9" s="19" t="s">
        <v>258</v>
      </c>
      <c r="D9" s="20" t="s">
        <v>259</v>
      </c>
      <c r="E9" s="20" t="s">
        <v>259</v>
      </c>
      <c r="F9" s="19" t="s">
        <v>247</v>
      </c>
      <c r="G9" s="19" t="s">
        <v>231</v>
      </c>
      <c r="H9" s="19" t="s">
        <v>248</v>
      </c>
      <c r="I9" s="19"/>
      <c r="J9" s="19" t="s">
        <v>214</v>
      </c>
      <c r="K9" s="19" t="s">
        <v>214</v>
      </c>
      <c r="L9" s="19" t="s">
        <v>214</v>
      </c>
      <c r="M9" s="21" t="s">
        <v>260</v>
      </c>
      <c r="N9" s="21" t="s">
        <v>261</v>
      </c>
      <c r="O9" s="21" t="s">
        <v>262</v>
      </c>
      <c r="P9" s="22" t="s">
        <v>263</v>
      </c>
      <c r="Q9" s="23"/>
      <c r="R9" s="25">
        <v>1.0559000000000001</v>
      </c>
      <c r="S9" s="25">
        <v>0.42730357142857101</v>
      </c>
      <c r="T9" s="4">
        <v>1.6E-2</v>
      </c>
      <c r="U9" s="4">
        <v>3.95E-2</v>
      </c>
      <c r="V9" s="19">
        <v>2500000</v>
      </c>
      <c r="W9" s="19">
        <v>1334266.66666667</v>
      </c>
      <c r="X9" s="19">
        <v>2668533.33333334</v>
      </c>
      <c r="Y9" s="19">
        <v>9</v>
      </c>
      <c r="Z9" s="19">
        <v>11000</v>
      </c>
      <c r="AA9" s="19">
        <v>2</v>
      </c>
      <c r="AB9" s="19">
        <v>44000</v>
      </c>
      <c r="AC9" s="19"/>
      <c r="AD9" s="19"/>
      <c r="AE9" s="19">
        <v>2723533.33333334</v>
      </c>
      <c r="AF9" s="19">
        <v>2723533.33333334</v>
      </c>
      <c r="AG9" s="19"/>
      <c r="AH9" s="19">
        <v>35000</v>
      </c>
      <c r="AI9" s="27">
        <v>5517066.66666668</v>
      </c>
      <c r="AJ9" s="27">
        <v>5517066.66666668</v>
      </c>
      <c r="AK9" s="19"/>
      <c r="AL9" s="19"/>
      <c r="AM9" s="19"/>
      <c r="AN9" s="28">
        <v>43938001953</v>
      </c>
      <c r="AO9" s="29" t="s">
        <v>251</v>
      </c>
      <c r="AP9" s="29" t="s">
        <v>252</v>
      </c>
      <c r="AQ9" s="28">
        <v>745896325874</v>
      </c>
      <c r="AR9" s="19" t="s">
        <v>264</v>
      </c>
      <c r="AS9" s="19">
        <v>36</v>
      </c>
      <c r="AT9" s="19" t="s">
        <v>265</v>
      </c>
      <c r="AU9" s="19" t="s">
        <v>223</v>
      </c>
      <c r="AV9" s="19" t="s">
        <v>224</v>
      </c>
      <c r="AW9" s="19" t="s">
        <v>266</v>
      </c>
      <c r="AX9" s="19">
        <v>80000</v>
      </c>
      <c r="AY9" s="19" t="s">
        <v>267</v>
      </c>
      <c r="AZ9" s="19"/>
      <c r="BA9" s="19">
        <v>3</v>
      </c>
      <c r="BB9" s="19">
        <v>2</v>
      </c>
      <c r="BC9" s="19">
        <v>3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 t="s">
        <v>268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</row>
    <row r="10" spans="1:94" x14ac:dyDescent="0.25">
      <c r="A10" s="19" t="s">
        <v>269</v>
      </c>
      <c r="B10" t="s">
        <v>270</v>
      </c>
      <c r="C10" s="19" t="s">
        <v>271</v>
      </c>
      <c r="D10" s="20" t="s">
        <v>272</v>
      </c>
      <c r="E10" s="20" t="s">
        <v>272</v>
      </c>
      <c r="F10" s="19" t="s">
        <v>247</v>
      </c>
      <c r="G10" s="19" t="s">
        <v>231</v>
      </c>
      <c r="H10" s="19" t="s">
        <v>248</v>
      </c>
      <c r="I10" s="19"/>
      <c r="J10" s="19" t="s">
        <v>214</v>
      </c>
      <c r="K10" s="19" t="s">
        <v>214</v>
      </c>
      <c r="L10" s="19" t="s">
        <v>214</v>
      </c>
      <c r="M10" s="21" t="s">
        <v>273</v>
      </c>
      <c r="N10" s="21">
        <v>203</v>
      </c>
      <c r="O10" s="21" t="s">
        <v>262</v>
      </c>
      <c r="P10" s="22" t="s">
        <v>263</v>
      </c>
      <c r="Q10" s="23"/>
      <c r="R10" s="25">
        <v>1.12718571428571</v>
      </c>
      <c r="S10" s="31">
        <v>0.45614285714285702</v>
      </c>
      <c r="T10" s="4">
        <v>5.45E-2</v>
      </c>
      <c r="U10" s="4">
        <v>0.13469999999999999</v>
      </c>
      <c r="V10" s="19">
        <v>3200000</v>
      </c>
      <c r="W10" s="19">
        <v>1319691.66666667</v>
      </c>
      <c r="X10" s="19">
        <v>2639383.33333334</v>
      </c>
      <c r="Y10" s="19">
        <v>2</v>
      </c>
      <c r="Z10" s="19">
        <v>2500</v>
      </c>
      <c r="AA10" s="19">
        <v>1</v>
      </c>
      <c r="AB10" s="19">
        <v>10000</v>
      </c>
      <c r="AC10" s="19"/>
      <c r="AD10" s="19"/>
      <c r="AE10" s="19">
        <v>2651883.33333334</v>
      </c>
      <c r="AF10" s="19">
        <v>2651883.33333334</v>
      </c>
      <c r="AG10" s="19"/>
      <c r="AH10" s="19">
        <v>25000</v>
      </c>
      <c r="AI10" s="27">
        <v>5353766.66666668</v>
      </c>
      <c r="AJ10" s="27">
        <v>5353766.66666668</v>
      </c>
      <c r="AK10" s="19"/>
      <c r="AL10" s="19"/>
      <c r="AM10" s="19"/>
      <c r="AN10" s="28">
        <v>56712303810</v>
      </c>
      <c r="AO10" s="29" t="s">
        <v>219</v>
      </c>
      <c r="AP10" s="19" t="s">
        <v>220</v>
      </c>
      <c r="AQ10" s="28">
        <v>852174589632</v>
      </c>
      <c r="AR10" s="19" t="s">
        <v>274</v>
      </c>
      <c r="AS10" s="19">
        <v>54</v>
      </c>
      <c r="AT10" s="19" t="s">
        <v>222</v>
      </c>
      <c r="AU10" s="19" t="s">
        <v>223</v>
      </c>
      <c r="AV10" s="19" t="s">
        <v>275</v>
      </c>
      <c r="AW10" s="19" t="s">
        <v>225</v>
      </c>
      <c r="AX10" s="19">
        <v>100000</v>
      </c>
      <c r="AY10" s="19"/>
      <c r="AZ10" s="19"/>
      <c r="BA10" s="19">
        <v>5</v>
      </c>
      <c r="BB10" s="19">
        <v>3</v>
      </c>
      <c r="BC10" s="19">
        <v>2</v>
      </c>
      <c r="BD10" s="19">
        <v>2</v>
      </c>
      <c r="BE10" s="19">
        <v>0</v>
      </c>
      <c r="BF10" s="19">
        <v>0</v>
      </c>
      <c r="BG10" s="19">
        <v>1</v>
      </c>
      <c r="BH10" s="19">
        <v>0</v>
      </c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</row>
    <row r="11" spans="1:94" x14ac:dyDescent="0.25">
      <c r="A11" s="19" t="s">
        <v>276</v>
      </c>
      <c r="B11" t="s">
        <v>277</v>
      </c>
      <c r="C11" s="19" t="s">
        <v>278</v>
      </c>
      <c r="D11" s="20" t="s">
        <v>279</v>
      </c>
      <c r="E11" s="20" t="s">
        <v>279</v>
      </c>
      <c r="F11" s="19" t="s">
        <v>280</v>
      </c>
      <c r="G11" s="19" t="s">
        <v>231</v>
      </c>
      <c r="H11" s="19" t="s">
        <v>281</v>
      </c>
      <c r="I11" s="19"/>
      <c r="J11" s="19" t="s">
        <v>282</v>
      </c>
      <c r="K11" s="19" t="s">
        <v>214</v>
      </c>
      <c r="L11" s="19" t="s">
        <v>214</v>
      </c>
      <c r="M11" s="21" t="s">
        <v>283</v>
      </c>
      <c r="N11" s="21" t="s">
        <v>284</v>
      </c>
      <c r="O11" s="21" t="s">
        <v>262</v>
      </c>
      <c r="P11" s="22" t="s">
        <v>263</v>
      </c>
      <c r="Q11" s="23"/>
      <c r="R11" s="25">
        <v>1.19847142857143</v>
      </c>
      <c r="S11" s="31">
        <v>0.48498214285714297</v>
      </c>
      <c r="T11" s="4">
        <v>2.7E-2</v>
      </c>
      <c r="U11" s="4">
        <v>6.6699999999999995E-2</v>
      </c>
      <c r="V11" s="19">
        <v>2700000</v>
      </c>
      <c r="W11" s="19">
        <v>1305133.66666667</v>
      </c>
      <c r="X11" s="19">
        <v>2610267.33333334</v>
      </c>
      <c r="Y11" s="19">
        <v>11</v>
      </c>
      <c r="Z11" s="19">
        <v>28030</v>
      </c>
      <c r="AA11" s="19">
        <v>5</v>
      </c>
      <c r="AB11" s="19">
        <v>112120</v>
      </c>
      <c r="AC11" s="19" t="s">
        <v>285</v>
      </c>
      <c r="AD11" s="19">
        <v>78560</v>
      </c>
      <c r="AE11" s="19">
        <v>2828977.33333334</v>
      </c>
      <c r="AF11" s="19">
        <v>2828977.33333334</v>
      </c>
      <c r="AG11" s="19"/>
      <c r="AH11" s="19">
        <v>34900</v>
      </c>
      <c r="AI11" s="27">
        <v>5727754.66666668</v>
      </c>
      <c r="AJ11" s="27">
        <v>5727754.66666668</v>
      </c>
      <c r="AK11" s="19"/>
      <c r="AL11" s="19"/>
      <c r="AM11" s="19"/>
      <c r="AN11" s="28">
        <v>69486605667</v>
      </c>
      <c r="AO11" s="29" t="s">
        <v>236</v>
      </c>
      <c r="AP11" s="29" t="s">
        <v>286</v>
      </c>
      <c r="AQ11" s="28">
        <v>963258741259</v>
      </c>
      <c r="AR11" s="19" t="s">
        <v>287</v>
      </c>
      <c r="AS11" s="19">
        <v>25</v>
      </c>
      <c r="AT11" s="19" t="s">
        <v>239</v>
      </c>
      <c r="AU11" s="19" t="s">
        <v>240</v>
      </c>
      <c r="AV11" s="19" t="s">
        <v>288</v>
      </c>
      <c r="AW11" s="19" t="s">
        <v>225</v>
      </c>
      <c r="AX11" s="19">
        <v>111500</v>
      </c>
      <c r="AY11" s="19"/>
      <c r="AZ11" s="19"/>
      <c r="BA11" s="19">
        <v>5</v>
      </c>
      <c r="BB11" s="19">
        <v>1</v>
      </c>
      <c r="BC11" s="19">
        <v>1</v>
      </c>
      <c r="BD11" s="19">
        <v>1</v>
      </c>
      <c r="BE11" s="19">
        <v>0</v>
      </c>
      <c r="BF11" s="19">
        <v>0</v>
      </c>
      <c r="BG11" s="19">
        <v>0</v>
      </c>
      <c r="BH11" s="19">
        <v>0</v>
      </c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</row>
    <row r="12" spans="1:94" x14ac:dyDescent="0.25">
      <c r="A12" s="19" t="s">
        <v>289</v>
      </c>
      <c r="B12" t="s">
        <v>290</v>
      </c>
      <c r="C12" s="19" t="s">
        <v>291</v>
      </c>
      <c r="D12" s="4" t="s">
        <v>292</v>
      </c>
      <c r="E12" s="4" t="s">
        <v>292</v>
      </c>
      <c r="F12" s="19" t="s">
        <v>293</v>
      </c>
      <c r="G12" s="19" t="s">
        <v>231</v>
      </c>
      <c r="H12" s="19" t="s">
        <v>294</v>
      </c>
      <c r="I12" s="19"/>
      <c r="J12" s="19" t="s">
        <v>213</v>
      </c>
      <c r="K12" s="19" t="s">
        <v>214</v>
      </c>
      <c r="L12" s="19" t="s">
        <v>214</v>
      </c>
      <c r="M12" s="4" t="s">
        <v>295</v>
      </c>
      <c r="N12" s="4" t="s">
        <v>296</v>
      </c>
      <c r="O12" s="4" t="s">
        <v>262</v>
      </c>
      <c r="P12" s="4" t="s">
        <v>263</v>
      </c>
      <c r="Q12" s="4"/>
      <c r="R12" s="25">
        <v>1.2697571428571399</v>
      </c>
      <c r="S12" s="31">
        <v>0.51382142857142798</v>
      </c>
      <c r="T12" s="4">
        <v>0.184</v>
      </c>
      <c r="U12" s="4">
        <v>0.45469999999999999</v>
      </c>
      <c r="V12" s="19">
        <v>2500000</v>
      </c>
      <c r="W12" s="19">
        <v>1290575.66666667</v>
      </c>
      <c r="X12" s="19">
        <v>2581151.33333334</v>
      </c>
      <c r="Y12" s="19">
        <v>65</v>
      </c>
      <c r="Z12" s="19">
        <v>86592</v>
      </c>
      <c r="AA12" s="19">
        <v>6</v>
      </c>
      <c r="AB12" s="19">
        <v>346368</v>
      </c>
      <c r="AC12" s="19"/>
      <c r="AD12" s="19"/>
      <c r="AE12" s="19">
        <v>3014111.33333334</v>
      </c>
      <c r="AF12" s="19">
        <v>3014111.33333334</v>
      </c>
      <c r="AG12" s="19"/>
      <c r="AH12" s="19">
        <v>39000</v>
      </c>
      <c r="AI12" s="27">
        <v>6106222.66666668</v>
      </c>
      <c r="AJ12" s="27">
        <v>6106222.66666668</v>
      </c>
      <c r="AK12" s="19"/>
      <c r="AL12" s="19"/>
      <c r="AM12" s="19"/>
      <c r="AN12" s="28">
        <v>82260907524</v>
      </c>
      <c r="AO12" s="29" t="s">
        <v>236</v>
      </c>
      <c r="AP12" s="29" t="s">
        <v>286</v>
      </c>
      <c r="AQ12" s="28">
        <v>745896325875</v>
      </c>
      <c r="AR12" s="19" t="s">
        <v>297</v>
      </c>
      <c r="AS12" s="19">
        <v>98</v>
      </c>
      <c r="AT12" s="19" t="s">
        <v>254</v>
      </c>
      <c r="AU12" s="19" t="s">
        <v>223</v>
      </c>
      <c r="AV12" s="19" t="s">
        <v>298</v>
      </c>
      <c r="AW12" s="19" t="s">
        <v>225</v>
      </c>
      <c r="AX12" s="19">
        <v>123000</v>
      </c>
      <c r="AY12" s="19"/>
      <c r="AZ12" s="19"/>
      <c r="BA12" s="19">
        <v>4</v>
      </c>
      <c r="BB12" s="19">
        <v>2</v>
      </c>
      <c r="BC12" s="19">
        <v>2</v>
      </c>
      <c r="BD12" s="19">
        <v>3</v>
      </c>
      <c r="BE12" s="19">
        <v>0</v>
      </c>
      <c r="BF12" s="19">
        <v>0</v>
      </c>
      <c r="BG12" s="19">
        <v>0</v>
      </c>
      <c r="BH12" s="19">
        <v>0</v>
      </c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</row>
    <row r="13" spans="1:94" x14ac:dyDescent="0.25">
      <c r="A13" s="19" t="s">
        <v>299</v>
      </c>
      <c r="B13" t="s">
        <v>300</v>
      </c>
      <c r="C13" s="19" t="s">
        <v>301</v>
      </c>
      <c r="D13" s="4" t="s">
        <v>302</v>
      </c>
      <c r="E13" s="4" t="s">
        <v>302</v>
      </c>
      <c r="F13" s="19" t="s">
        <v>303</v>
      </c>
      <c r="G13" s="19" t="s">
        <v>211</v>
      </c>
      <c r="H13" s="19" t="s">
        <v>212</v>
      </c>
      <c r="I13" s="19"/>
      <c r="J13" s="19" t="s">
        <v>233</v>
      </c>
      <c r="K13" s="19" t="s">
        <v>214</v>
      </c>
      <c r="L13" s="19" t="s">
        <v>214</v>
      </c>
      <c r="M13" s="4" t="s">
        <v>304</v>
      </c>
      <c r="N13" s="4" t="s">
        <v>305</v>
      </c>
      <c r="O13" s="4" t="s">
        <v>262</v>
      </c>
      <c r="P13" s="4" t="s">
        <v>263</v>
      </c>
      <c r="Q13" s="4"/>
      <c r="R13" s="24">
        <v>1.3410428571428601</v>
      </c>
      <c r="S13" s="25">
        <v>0.54266071428571405</v>
      </c>
      <c r="T13" s="31">
        <v>9.1499999999999998E-2</v>
      </c>
      <c r="U13" s="30">
        <v>0.22600000000000001</v>
      </c>
      <c r="V13" s="19">
        <v>3200000</v>
      </c>
      <c r="W13" s="19">
        <v>1276017.66666667</v>
      </c>
      <c r="X13" s="19">
        <v>2552035.33333334</v>
      </c>
      <c r="Y13" s="19">
        <v>5</v>
      </c>
      <c r="Z13" s="19">
        <v>23568</v>
      </c>
      <c r="AA13" s="19">
        <v>2</v>
      </c>
      <c r="AB13" s="19">
        <v>94272</v>
      </c>
      <c r="AC13" s="19"/>
      <c r="AD13" s="19"/>
      <c r="AE13" s="19">
        <v>2669875.33333334</v>
      </c>
      <c r="AF13" s="19">
        <v>2669875.33333334</v>
      </c>
      <c r="AG13" s="19"/>
      <c r="AH13" s="19">
        <v>43100</v>
      </c>
      <c r="AI13" s="27">
        <v>5425950.66666668</v>
      </c>
      <c r="AJ13" s="27">
        <v>5425950.66666668</v>
      </c>
      <c r="AK13" s="19"/>
      <c r="AL13" s="19"/>
      <c r="AM13" s="19"/>
      <c r="AN13" s="28">
        <v>95035209381</v>
      </c>
      <c r="AO13" s="29" t="s">
        <v>219</v>
      </c>
      <c r="AP13" s="29" t="s">
        <v>306</v>
      </c>
      <c r="AQ13" s="28">
        <v>852174589633</v>
      </c>
      <c r="AR13" s="19" t="s">
        <v>307</v>
      </c>
      <c r="AS13" s="19">
        <v>65</v>
      </c>
      <c r="AT13" s="19" t="s">
        <v>265</v>
      </c>
      <c r="AU13" s="19" t="s">
        <v>240</v>
      </c>
      <c r="AV13" s="19" t="s">
        <v>308</v>
      </c>
      <c r="AW13" s="19" t="s">
        <v>225</v>
      </c>
      <c r="AX13" s="19">
        <v>134500</v>
      </c>
      <c r="AY13" s="19"/>
      <c r="AZ13" s="19"/>
      <c r="BA13" s="19">
        <v>6</v>
      </c>
      <c r="BB13" s="19">
        <v>3</v>
      </c>
      <c r="BC13" s="19">
        <v>1</v>
      </c>
      <c r="BD13" s="19">
        <v>1</v>
      </c>
      <c r="BE13" s="19">
        <v>0</v>
      </c>
      <c r="BF13" s="19">
        <v>0</v>
      </c>
      <c r="BG13" s="19">
        <v>0</v>
      </c>
      <c r="BH13" s="19">
        <v>2</v>
      </c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</row>
    <row r="14" spans="1:94" x14ac:dyDescent="0.25">
      <c r="A14" s="19" t="s">
        <v>309</v>
      </c>
      <c r="B14" t="s">
        <v>310</v>
      </c>
      <c r="C14" s="19" t="s">
        <v>311</v>
      </c>
      <c r="D14" s="4" t="s">
        <v>312</v>
      </c>
      <c r="E14" s="4" t="s">
        <v>312</v>
      </c>
      <c r="F14" s="19" t="s">
        <v>313</v>
      </c>
      <c r="G14" s="19" t="s">
        <v>211</v>
      </c>
      <c r="H14" s="19" t="s">
        <v>214</v>
      </c>
      <c r="I14" s="19"/>
      <c r="J14" s="19" t="s">
        <v>233</v>
      </c>
      <c r="K14" s="19" t="s">
        <v>214</v>
      </c>
      <c r="L14" s="19" t="s">
        <v>214</v>
      </c>
      <c r="M14" s="4" t="s">
        <v>314</v>
      </c>
      <c r="N14" s="4" t="s">
        <v>315</v>
      </c>
      <c r="O14" s="4" t="s">
        <v>262</v>
      </c>
      <c r="P14" s="4" t="s">
        <v>263</v>
      </c>
      <c r="Q14" s="4"/>
      <c r="R14" s="30">
        <v>1.41232857142857</v>
      </c>
      <c r="S14" s="31">
        <v>0.57150000000000001</v>
      </c>
      <c r="T14" s="25">
        <v>9.1999999999999998E-2</v>
      </c>
      <c r="U14" s="30">
        <v>0.22700000000000001</v>
      </c>
      <c r="V14" s="19">
        <v>2700000</v>
      </c>
      <c r="W14" s="19">
        <v>1261459.66666667</v>
      </c>
      <c r="X14" s="19">
        <v>2522919.33333334</v>
      </c>
      <c r="Y14" s="19">
        <v>47</v>
      </c>
      <c r="Z14" s="19">
        <v>5655</v>
      </c>
      <c r="AA14" s="19">
        <v>3</v>
      </c>
      <c r="AB14" s="19">
        <v>22620</v>
      </c>
      <c r="AC14" s="19"/>
      <c r="AD14" s="19"/>
      <c r="AE14" s="19">
        <v>2551194.33333334</v>
      </c>
      <c r="AF14" s="19">
        <v>2551194.33333334</v>
      </c>
      <c r="AG14" s="19"/>
      <c r="AH14" s="19">
        <v>47200</v>
      </c>
      <c r="AI14" s="27">
        <v>5196788.66666668</v>
      </c>
      <c r="AJ14" s="27">
        <v>5196788.66666668</v>
      </c>
      <c r="AK14" s="19"/>
      <c r="AL14" s="19"/>
      <c r="AM14" s="19"/>
      <c r="AN14" s="28">
        <v>107809511238</v>
      </c>
      <c r="AO14" s="29" t="s">
        <v>236</v>
      </c>
      <c r="AP14" s="29" t="s">
        <v>316</v>
      </c>
      <c r="AQ14" s="28">
        <v>963258741260</v>
      </c>
      <c r="AR14" s="19" t="s">
        <v>317</v>
      </c>
      <c r="AS14" s="19">
        <v>63</v>
      </c>
      <c r="AT14" s="19" t="s">
        <v>222</v>
      </c>
      <c r="AU14" s="19" t="s">
        <v>223</v>
      </c>
      <c r="AV14" s="19" t="s">
        <v>224</v>
      </c>
      <c r="AW14" s="19" t="s">
        <v>242</v>
      </c>
      <c r="AX14" s="19">
        <v>146000</v>
      </c>
      <c r="AY14" s="19" t="s">
        <v>267</v>
      </c>
      <c r="AZ14" s="19"/>
      <c r="BA14" s="19">
        <v>3</v>
      </c>
      <c r="BB14" s="19">
        <v>4</v>
      </c>
      <c r="BC14" s="19">
        <v>3</v>
      </c>
      <c r="BD14" s="19">
        <v>2</v>
      </c>
      <c r="BE14" s="19">
        <v>0</v>
      </c>
      <c r="BF14" s="19">
        <v>0</v>
      </c>
      <c r="BG14" s="19">
        <v>0</v>
      </c>
      <c r="BH14" s="19">
        <v>0</v>
      </c>
      <c r="BI14" s="19" t="s">
        <v>318</v>
      </c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</row>
    <row r="15" spans="1:94" x14ac:dyDescent="0.25">
      <c r="A15" s="19" t="s">
        <v>319</v>
      </c>
      <c r="B15" t="s">
        <v>320</v>
      </c>
      <c r="C15" s="19" t="s">
        <v>321</v>
      </c>
      <c r="D15" s="4" t="s">
        <v>322</v>
      </c>
      <c r="E15" s="4" t="s">
        <v>322</v>
      </c>
      <c r="F15" s="19" t="s">
        <v>323</v>
      </c>
      <c r="G15" s="19" t="s">
        <v>231</v>
      </c>
      <c r="H15" s="19" t="s">
        <v>232</v>
      </c>
      <c r="I15" s="19"/>
      <c r="J15" s="19" t="s">
        <v>282</v>
      </c>
      <c r="K15" s="19" t="s">
        <v>214</v>
      </c>
      <c r="L15" s="19" t="s">
        <v>214</v>
      </c>
      <c r="M15" s="4" t="s">
        <v>324</v>
      </c>
      <c r="N15" s="4">
        <v>934</v>
      </c>
      <c r="O15" s="4" t="s">
        <v>262</v>
      </c>
      <c r="P15" s="4" t="s">
        <v>263</v>
      </c>
      <c r="Q15" s="4"/>
      <c r="R15" s="25">
        <v>1.48361428571429</v>
      </c>
      <c r="S15" s="25">
        <v>0.60033928571428496</v>
      </c>
      <c r="T15" s="25">
        <v>0.21049999999999999</v>
      </c>
      <c r="U15" s="30">
        <v>0.52</v>
      </c>
      <c r="V15" s="19">
        <v>2500000</v>
      </c>
      <c r="W15" s="19">
        <v>1246901.66666667</v>
      </c>
      <c r="X15" s="19">
        <v>2493803.33333334</v>
      </c>
      <c r="Y15" s="19">
        <v>32</v>
      </c>
      <c r="Z15" s="19">
        <v>8522</v>
      </c>
      <c r="AA15" s="19">
        <v>8</v>
      </c>
      <c r="AB15" s="19">
        <v>34088</v>
      </c>
      <c r="AC15" s="19"/>
      <c r="AD15" s="19"/>
      <c r="AE15" s="19">
        <v>2536413.33333334</v>
      </c>
      <c r="AF15" s="19">
        <v>2536413.33333334</v>
      </c>
      <c r="AG15" s="19"/>
      <c r="AH15" s="19">
        <v>51300</v>
      </c>
      <c r="AI15" s="27">
        <v>5175426.66666668</v>
      </c>
      <c r="AJ15" s="27">
        <v>5175426.66666668</v>
      </c>
      <c r="AK15" s="19"/>
      <c r="AL15" s="19"/>
      <c r="AM15" s="19"/>
      <c r="AN15" s="28">
        <v>120583813095</v>
      </c>
      <c r="AO15" s="29" t="s">
        <v>251</v>
      </c>
      <c r="AP15" s="29" t="s">
        <v>252</v>
      </c>
      <c r="AQ15" s="28">
        <v>745896325876</v>
      </c>
      <c r="AR15" s="19" t="s">
        <v>325</v>
      </c>
      <c r="AS15" s="19">
        <v>44</v>
      </c>
      <c r="AT15" s="19" t="s">
        <v>239</v>
      </c>
      <c r="AU15" s="19" t="s">
        <v>223</v>
      </c>
      <c r="AV15" s="19" t="s">
        <v>241</v>
      </c>
      <c r="AW15" s="19" t="s">
        <v>242</v>
      </c>
      <c r="AX15" s="19">
        <v>157500</v>
      </c>
      <c r="AY15" s="19"/>
      <c r="AZ15" s="19"/>
      <c r="BA15" s="19">
        <v>5</v>
      </c>
      <c r="BB15" s="19">
        <v>2</v>
      </c>
      <c r="BC15" s="19">
        <v>2</v>
      </c>
      <c r="BD15" s="19">
        <v>1</v>
      </c>
      <c r="BE15" s="19">
        <v>1</v>
      </c>
      <c r="BF15" s="19">
        <v>0</v>
      </c>
      <c r="BG15" s="19">
        <v>1</v>
      </c>
      <c r="BH15" s="19">
        <v>0</v>
      </c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</row>
    <row r="16" spans="1:94" x14ac:dyDescent="0.25">
      <c r="A16" s="19" t="s">
        <v>326</v>
      </c>
      <c r="B16" t="s">
        <v>327</v>
      </c>
      <c r="C16" s="19" t="s">
        <v>328</v>
      </c>
      <c r="D16" s="4" t="s">
        <v>329</v>
      </c>
      <c r="E16" s="4" t="s">
        <v>329</v>
      </c>
      <c r="F16" s="19" t="s">
        <v>330</v>
      </c>
      <c r="G16" s="19" t="s">
        <v>231</v>
      </c>
      <c r="H16" s="19" t="s">
        <v>248</v>
      </c>
      <c r="I16" s="19"/>
      <c r="J16" s="19" t="s">
        <v>233</v>
      </c>
      <c r="K16" s="19" t="s">
        <v>214</v>
      </c>
      <c r="L16" s="19" t="s">
        <v>214</v>
      </c>
      <c r="M16" s="4" t="s">
        <v>331</v>
      </c>
      <c r="N16" s="4" t="s">
        <v>332</v>
      </c>
      <c r="O16" s="4" t="s">
        <v>262</v>
      </c>
      <c r="P16" s="4" t="s">
        <v>263</v>
      </c>
      <c r="Q16" s="4"/>
      <c r="R16" s="25">
        <v>1.5548999999999999</v>
      </c>
      <c r="S16" s="25">
        <v>0.62917857142857103</v>
      </c>
      <c r="T16" s="25">
        <v>0.14099999999999999</v>
      </c>
      <c r="U16" s="30">
        <v>0.34839999999999999</v>
      </c>
      <c r="V16" s="19">
        <v>3200000</v>
      </c>
      <c r="W16" s="19">
        <v>1232343.66666668</v>
      </c>
      <c r="X16" s="19">
        <v>2464687.33333336</v>
      </c>
      <c r="Y16" s="19">
        <v>8</v>
      </c>
      <c r="Z16" s="32">
        <v>45232</v>
      </c>
      <c r="AA16" s="19">
        <v>6</v>
      </c>
      <c r="AB16" s="19">
        <v>180928</v>
      </c>
      <c r="AC16" s="19"/>
      <c r="AD16" s="19"/>
      <c r="AE16" s="19">
        <v>2690847.33333336</v>
      </c>
      <c r="AF16" s="19">
        <v>2690847.33333336</v>
      </c>
      <c r="AG16" s="19"/>
      <c r="AH16" s="19">
        <v>55400</v>
      </c>
      <c r="AI16" s="27">
        <v>5492494.6666667201</v>
      </c>
      <c r="AJ16" s="27">
        <v>5492494.6666667201</v>
      </c>
      <c r="AK16" s="19"/>
      <c r="AL16" s="19"/>
      <c r="AM16" s="19"/>
      <c r="AN16" s="28">
        <v>133358114952</v>
      </c>
      <c r="AO16" s="29" t="s">
        <v>251</v>
      </c>
      <c r="AP16" s="29" t="s">
        <v>252</v>
      </c>
      <c r="AQ16" s="28">
        <v>852174589634</v>
      </c>
      <c r="AR16" s="19" t="s">
        <v>333</v>
      </c>
      <c r="AS16" s="19">
        <v>57</v>
      </c>
      <c r="AT16" s="19" t="s">
        <v>254</v>
      </c>
      <c r="AU16" s="19" t="s">
        <v>223</v>
      </c>
      <c r="AV16" s="19" t="s">
        <v>298</v>
      </c>
      <c r="AW16" s="19" t="s">
        <v>266</v>
      </c>
      <c r="AX16" s="19">
        <v>169000</v>
      </c>
      <c r="AY16" s="19"/>
      <c r="AZ16" s="19"/>
      <c r="BA16" s="19">
        <v>5</v>
      </c>
      <c r="BB16" s="19">
        <v>3</v>
      </c>
      <c r="BC16" s="19">
        <v>0</v>
      </c>
      <c r="BD16" s="19">
        <v>2</v>
      </c>
      <c r="BE16" s="19">
        <v>0</v>
      </c>
      <c r="BF16" s="19">
        <v>0</v>
      </c>
      <c r="BG16" s="19">
        <v>0</v>
      </c>
      <c r="BH16" s="19">
        <v>0</v>
      </c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</row>
    <row r="17" spans="1:94" x14ac:dyDescent="0.25">
      <c r="A17" s="19" t="s">
        <v>334</v>
      </c>
      <c r="B17" t="s">
        <v>335</v>
      </c>
      <c r="C17" s="19" t="s">
        <v>336</v>
      </c>
      <c r="D17" s="4" t="s">
        <v>337</v>
      </c>
      <c r="E17" s="4" t="s">
        <v>337</v>
      </c>
      <c r="F17" s="19" t="s">
        <v>338</v>
      </c>
      <c r="G17" s="19" t="s">
        <v>211</v>
      </c>
      <c r="H17" s="19" t="s">
        <v>339</v>
      </c>
      <c r="I17" s="19"/>
      <c r="J17" s="19" t="s">
        <v>282</v>
      </c>
      <c r="K17" s="19" t="s">
        <v>214</v>
      </c>
      <c r="L17" s="19" t="s">
        <v>214</v>
      </c>
      <c r="M17" s="4" t="s">
        <v>340</v>
      </c>
      <c r="N17" s="4" t="s">
        <v>341</v>
      </c>
      <c r="O17" s="4" t="s">
        <v>262</v>
      </c>
      <c r="P17" s="4" t="s">
        <v>263</v>
      </c>
      <c r="Q17" s="4"/>
      <c r="R17" s="25">
        <v>1.6261857142857199</v>
      </c>
      <c r="S17" s="31">
        <v>0.65801785714285699</v>
      </c>
      <c r="T17" s="30">
        <v>4.9000000000000002E-2</v>
      </c>
      <c r="U17" s="25">
        <v>0.02</v>
      </c>
      <c r="V17" s="19">
        <v>2700000</v>
      </c>
      <c r="W17" s="19">
        <v>1217785.66666668</v>
      </c>
      <c r="X17" s="19">
        <v>2435571.33333336</v>
      </c>
      <c r="Y17" s="19">
        <v>955</v>
      </c>
      <c r="Z17" s="32">
        <v>11131</v>
      </c>
      <c r="AA17" s="19">
        <v>8</v>
      </c>
      <c r="AB17" s="19">
        <v>44524</v>
      </c>
      <c r="AC17" s="19"/>
      <c r="AD17" s="19"/>
      <c r="AE17" s="19">
        <v>2491226.33333336</v>
      </c>
      <c r="AF17" s="19">
        <v>2491226.33333336</v>
      </c>
      <c r="AG17" s="19"/>
      <c r="AH17" s="19">
        <v>59500</v>
      </c>
      <c r="AI17" s="27">
        <v>5101452.6666667201</v>
      </c>
      <c r="AJ17" s="27">
        <v>5101452.6666667201</v>
      </c>
      <c r="AK17" s="19"/>
      <c r="AL17" s="19"/>
      <c r="AM17" s="19"/>
      <c r="AN17" s="28">
        <v>146132416809</v>
      </c>
      <c r="AO17" s="29" t="s">
        <v>219</v>
      </c>
      <c r="AP17" s="19" t="s">
        <v>306</v>
      </c>
      <c r="AQ17" s="28">
        <v>963258741261</v>
      </c>
      <c r="AR17" s="19" t="s">
        <v>342</v>
      </c>
      <c r="AS17" s="19">
        <v>84</v>
      </c>
      <c r="AT17" s="19" t="s">
        <v>265</v>
      </c>
      <c r="AU17" s="19" t="s">
        <v>240</v>
      </c>
      <c r="AV17" s="19" t="s">
        <v>224</v>
      </c>
      <c r="AW17" s="19" t="s">
        <v>225</v>
      </c>
      <c r="AX17" s="19">
        <v>180500</v>
      </c>
      <c r="AY17" s="19" t="s">
        <v>343</v>
      </c>
      <c r="AZ17" s="19"/>
      <c r="BA17" s="19">
        <v>4</v>
      </c>
      <c r="BB17" s="19">
        <v>1</v>
      </c>
      <c r="BC17" s="19">
        <v>2</v>
      </c>
      <c r="BD17" s="19">
        <v>1</v>
      </c>
      <c r="BE17" s="19">
        <v>0</v>
      </c>
      <c r="BF17" s="19">
        <v>0</v>
      </c>
      <c r="BG17" s="19">
        <v>0</v>
      </c>
      <c r="BH17" s="19">
        <v>0</v>
      </c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</row>
    <row r="18" spans="1:94" x14ac:dyDescent="0.25">
      <c r="A18" s="19" t="s">
        <v>344</v>
      </c>
      <c r="B18" t="s">
        <v>345</v>
      </c>
      <c r="C18" s="19" t="s">
        <v>346</v>
      </c>
      <c r="D18" s="4" t="s">
        <v>347</v>
      </c>
      <c r="E18" s="4" t="s">
        <v>347</v>
      </c>
      <c r="F18" s="19" t="s">
        <v>247</v>
      </c>
      <c r="G18" s="19" t="s">
        <v>231</v>
      </c>
      <c r="H18" s="19" t="s">
        <v>248</v>
      </c>
      <c r="I18" s="19"/>
      <c r="J18" s="19" t="s">
        <v>214</v>
      </c>
      <c r="K18" s="19" t="s">
        <v>214</v>
      </c>
      <c r="L18" s="19" t="s">
        <v>214</v>
      </c>
      <c r="M18" s="4" t="s">
        <v>348</v>
      </c>
      <c r="N18" s="4" t="s">
        <v>349</v>
      </c>
      <c r="O18" s="4" t="s">
        <v>262</v>
      </c>
      <c r="P18" s="4" t="s">
        <v>263</v>
      </c>
      <c r="Q18" s="4"/>
      <c r="R18" s="25">
        <v>1.6974714285714301</v>
      </c>
      <c r="S18" s="31">
        <v>0.68685714285714305</v>
      </c>
      <c r="T18" s="30">
        <v>4.9000000000000002E-2</v>
      </c>
      <c r="U18" s="25">
        <v>0.02</v>
      </c>
      <c r="V18" s="19">
        <v>2500000</v>
      </c>
      <c r="W18" s="19">
        <v>1203227.66666668</v>
      </c>
      <c r="X18" s="19">
        <v>2406455.33333336</v>
      </c>
      <c r="Y18" s="19">
        <v>64</v>
      </c>
      <c r="Z18" s="32">
        <v>665852</v>
      </c>
      <c r="AA18" s="19">
        <v>4</v>
      </c>
      <c r="AB18" s="19">
        <v>2663408</v>
      </c>
      <c r="AC18" s="19" t="s">
        <v>350</v>
      </c>
      <c r="AD18" s="19">
        <v>125800</v>
      </c>
      <c r="AE18" s="19">
        <v>5861515.33333336</v>
      </c>
      <c r="AF18" s="19">
        <v>5861515.33333336</v>
      </c>
      <c r="AG18" s="19"/>
      <c r="AH18" s="19">
        <v>63600</v>
      </c>
      <c r="AI18" s="27">
        <v>11850230.66666672</v>
      </c>
      <c r="AJ18" s="27">
        <v>11850230.66666672</v>
      </c>
      <c r="AK18" s="19"/>
      <c r="AL18" s="19"/>
      <c r="AM18" s="19"/>
      <c r="AN18" s="28">
        <v>158906718666</v>
      </c>
      <c r="AO18" s="29" t="s">
        <v>236</v>
      </c>
      <c r="AP18" s="29" t="s">
        <v>286</v>
      </c>
      <c r="AQ18" s="28">
        <v>745896325877</v>
      </c>
      <c r="AR18" s="19" t="s">
        <v>351</v>
      </c>
      <c r="AS18" s="19">
        <v>16</v>
      </c>
      <c r="AT18" s="19" t="s">
        <v>222</v>
      </c>
      <c r="AU18" s="19" t="s">
        <v>223</v>
      </c>
      <c r="AV18" s="19" t="s">
        <v>275</v>
      </c>
      <c r="AW18" s="19" t="s">
        <v>225</v>
      </c>
      <c r="AX18" s="19">
        <v>192000</v>
      </c>
      <c r="AY18" s="19"/>
      <c r="AZ18" s="19"/>
      <c r="BA18" s="19">
        <v>6</v>
      </c>
      <c r="BB18" s="19">
        <v>2</v>
      </c>
      <c r="BC18" s="19">
        <v>1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</row>
    <row r="19" spans="1:94" x14ac:dyDescent="0.25">
      <c r="A19" s="19" t="s">
        <v>352</v>
      </c>
      <c r="B19" t="s">
        <v>353</v>
      </c>
      <c r="C19" s="19" t="s">
        <v>354</v>
      </c>
      <c r="D19" s="4" t="s">
        <v>355</v>
      </c>
      <c r="E19" s="4" t="s">
        <v>355</v>
      </c>
      <c r="F19" s="19" t="s">
        <v>303</v>
      </c>
      <c r="G19" s="19" t="s">
        <v>211</v>
      </c>
      <c r="H19" s="19" t="s">
        <v>212</v>
      </c>
      <c r="I19" s="19"/>
      <c r="J19" s="19" t="s">
        <v>233</v>
      </c>
      <c r="K19" s="19" t="s">
        <v>214</v>
      </c>
      <c r="L19" s="19" t="s">
        <v>214</v>
      </c>
      <c r="M19" s="4" t="s">
        <v>356</v>
      </c>
      <c r="N19" s="4" t="s">
        <v>357</v>
      </c>
      <c r="O19" s="4" t="s">
        <v>358</v>
      </c>
      <c r="P19" s="4" t="s">
        <v>263</v>
      </c>
      <c r="Q19" s="4"/>
      <c r="R19" s="25">
        <v>1.76875714285715</v>
      </c>
      <c r="S19" s="31">
        <v>0.71569642857142801</v>
      </c>
      <c r="T19" s="24">
        <v>0.22700000000000001</v>
      </c>
      <c r="U19" s="25">
        <v>9.1999999999999998E-2</v>
      </c>
      <c r="V19" s="19">
        <v>3200000</v>
      </c>
      <c r="W19" s="19">
        <v>1188669.66666668</v>
      </c>
      <c r="X19" s="19">
        <v>2377339.33333336</v>
      </c>
      <c r="Y19" s="19">
        <v>2</v>
      </c>
      <c r="Z19" s="32">
        <v>5552</v>
      </c>
      <c r="AA19" s="19">
        <v>6</v>
      </c>
      <c r="AB19" s="19">
        <v>22208</v>
      </c>
      <c r="AC19" s="19"/>
      <c r="AD19" s="19"/>
      <c r="AE19" s="19">
        <v>2405099.33333336</v>
      </c>
      <c r="AF19" s="19">
        <v>2405099.33333336</v>
      </c>
      <c r="AG19" s="19"/>
      <c r="AH19" s="19">
        <v>67700</v>
      </c>
      <c r="AI19" s="27">
        <v>4945598.6666667201</v>
      </c>
      <c r="AJ19" s="27">
        <v>4945598.6666667201</v>
      </c>
      <c r="AK19" s="19"/>
      <c r="AL19" s="19"/>
      <c r="AM19" s="19"/>
      <c r="AN19" s="28">
        <v>171681020523</v>
      </c>
      <c r="AO19" s="29" t="s">
        <v>236</v>
      </c>
      <c r="AP19" s="29" t="s">
        <v>286</v>
      </c>
      <c r="AQ19" s="28">
        <v>852174589635</v>
      </c>
      <c r="AR19" s="19" t="s">
        <v>359</v>
      </c>
      <c r="AS19" s="19">
        <v>68</v>
      </c>
      <c r="AT19" s="19" t="s">
        <v>239</v>
      </c>
      <c r="AU19" s="19" t="s">
        <v>240</v>
      </c>
      <c r="AV19" s="19" t="s">
        <v>288</v>
      </c>
      <c r="AW19" s="19" t="s">
        <v>225</v>
      </c>
      <c r="AX19" s="19">
        <v>203500</v>
      </c>
      <c r="AY19" s="19"/>
      <c r="AZ19" s="19"/>
      <c r="BA19" s="19">
        <v>3</v>
      </c>
      <c r="BB19" s="19">
        <v>3</v>
      </c>
      <c r="BC19" s="19">
        <v>3</v>
      </c>
      <c r="BD19" s="19">
        <v>2</v>
      </c>
      <c r="BE19" s="19">
        <v>0</v>
      </c>
      <c r="BF19" s="19">
        <v>0</v>
      </c>
      <c r="BG19" s="19">
        <v>0</v>
      </c>
      <c r="BH19" s="19">
        <v>0</v>
      </c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</row>
    <row r="20" spans="1:94" x14ac:dyDescent="0.25">
      <c r="A20" s="19" t="s">
        <v>360</v>
      </c>
      <c r="B20" t="s">
        <v>361</v>
      </c>
      <c r="C20" s="19" t="s">
        <v>362</v>
      </c>
      <c r="D20" s="4" t="s">
        <v>363</v>
      </c>
      <c r="E20" s="4" t="s">
        <v>363</v>
      </c>
      <c r="F20" s="19" t="s">
        <v>303</v>
      </c>
      <c r="G20" s="19" t="s">
        <v>231</v>
      </c>
      <c r="H20" s="19" t="s">
        <v>212</v>
      </c>
      <c r="I20" s="19"/>
      <c r="J20" s="19" t="s">
        <v>233</v>
      </c>
      <c r="K20" s="19" t="s">
        <v>214</v>
      </c>
      <c r="L20" s="19" t="s">
        <v>214</v>
      </c>
      <c r="M20" s="4" t="s">
        <v>364</v>
      </c>
      <c r="N20" s="4" t="s">
        <v>365</v>
      </c>
      <c r="O20" s="4" t="s">
        <v>358</v>
      </c>
      <c r="P20" s="4" t="s">
        <v>263</v>
      </c>
      <c r="Q20" s="4"/>
      <c r="R20" s="24">
        <v>1.84004285714286</v>
      </c>
      <c r="S20" s="25">
        <v>0.74453571428571397</v>
      </c>
      <c r="T20" s="30">
        <v>0.22700000000000001</v>
      </c>
      <c r="U20" s="31">
        <v>9.1999999999999998E-2</v>
      </c>
      <c r="V20" s="19">
        <v>2700000</v>
      </c>
      <c r="W20" s="19">
        <v>1174111.66666668</v>
      </c>
      <c r="X20" s="19">
        <v>2348223.33333336</v>
      </c>
      <c r="Y20" s="19">
        <v>34</v>
      </c>
      <c r="Z20" s="32">
        <v>55845</v>
      </c>
      <c r="AA20" s="19">
        <v>3</v>
      </c>
      <c r="AB20" s="19">
        <v>223380</v>
      </c>
      <c r="AC20" s="19"/>
      <c r="AD20" s="19"/>
      <c r="AE20" s="19">
        <v>2627448.33333336</v>
      </c>
      <c r="AF20" s="19">
        <v>2627448.33333336</v>
      </c>
      <c r="AG20" s="19"/>
      <c r="AH20" s="19">
        <v>71800</v>
      </c>
      <c r="AI20" s="27">
        <v>5398496.6666667201</v>
      </c>
      <c r="AJ20" s="27">
        <v>5398496.6666667201</v>
      </c>
      <c r="AK20" s="19"/>
      <c r="AL20" s="19"/>
      <c r="AM20" s="19"/>
      <c r="AN20" s="28">
        <v>184455322380</v>
      </c>
      <c r="AO20" s="29" t="s">
        <v>219</v>
      </c>
      <c r="AP20" s="29" t="s">
        <v>366</v>
      </c>
      <c r="AQ20" s="28">
        <v>963258741262</v>
      </c>
      <c r="AR20" s="19" t="s">
        <v>367</v>
      </c>
      <c r="AS20" s="19">
        <v>25</v>
      </c>
      <c r="AT20" s="19" t="s">
        <v>254</v>
      </c>
      <c r="AU20" s="19" t="s">
        <v>223</v>
      </c>
      <c r="AV20" s="19" t="s">
        <v>368</v>
      </c>
      <c r="AW20" s="19" t="s">
        <v>225</v>
      </c>
      <c r="AX20" s="19">
        <v>215000</v>
      </c>
      <c r="AY20" s="19"/>
      <c r="AZ20" s="19"/>
      <c r="BA20" s="19">
        <v>5</v>
      </c>
      <c r="BB20" s="19">
        <v>2</v>
      </c>
      <c r="BC20" s="19">
        <v>2</v>
      </c>
      <c r="BD20" s="19">
        <v>1</v>
      </c>
      <c r="BE20" s="19">
        <v>0</v>
      </c>
      <c r="BF20" s="19">
        <v>0</v>
      </c>
      <c r="BG20" s="19">
        <v>0</v>
      </c>
      <c r="BH20" s="19">
        <v>0</v>
      </c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</row>
    <row r="21" spans="1:94" x14ac:dyDescent="0.25">
      <c r="A21" s="19" t="s">
        <v>369</v>
      </c>
      <c r="B21" t="s">
        <v>370</v>
      </c>
      <c r="C21" s="19" t="s">
        <v>371</v>
      </c>
      <c r="D21" s="4" t="s">
        <v>372</v>
      </c>
      <c r="E21" s="4" t="s">
        <v>372</v>
      </c>
      <c r="F21" s="19" t="s">
        <v>373</v>
      </c>
      <c r="G21" s="19" t="s">
        <v>211</v>
      </c>
      <c r="H21" s="19" t="s">
        <v>212</v>
      </c>
      <c r="I21" s="19"/>
      <c r="J21" s="19" t="s">
        <v>214</v>
      </c>
      <c r="K21" s="19" t="s">
        <v>214</v>
      </c>
      <c r="L21" s="19" t="s">
        <v>214</v>
      </c>
      <c r="M21" s="4" t="s">
        <v>374</v>
      </c>
      <c r="N21" s="4">
        <v>868</v>
      </c>
      <c r="O21" s="4" t="s">
        <v>375</v>
      </c>
      <c r="P21" s="4" t="s">
        <v>376</v>
      </c>
      <c r="Q21" s="4"/>
      <c r="R21" s="30">
        <v>1.9113285714285699</v>
      </c>
      <c r="S21" s="31">
        <v>0.77337500000000003</v>
      </c>
      <c r="T21" s="25">
        <v>1.0009999999999999</v>
      </c>
      <c r="U21" s="25">
        <v>0.40500000000000003</v>
      </c>
      <c r="V21" s="19">
        <v>2500000</v>
      </c>
      <c r="W21" s="19">
        <v>1159553.66666668</v>
      </c>
      <c r="X21" s="19">
        <v>2319107.33333336</v>
      </c>
      <c r="Y21" s="19">
        <v>4</v>
      </c>
      <c r="Z21" s="32">
        <v>2365</v>
      </c>
      <c r="AA21" s="19">
        <v>14</v>
      </c>
      <c r="AB21" s="19">
        <v>9460</v>
      </c>
      <c r="AC21" s="19"/>
      <c r="AD21" s="19"/>
      <c r="AE21" s="19">
        <v>2330932.33333336</v>
      </c>
      <c r="AF21" s="19">
        <v>2330932.33333336</v>
      </c>
      <c r="AG21" s="19"/>
      <c r="AH21" s="19">
        <v>75900</v>
      </c>
      <c r="AI21" s="27">
        <v>4813664.6666667201</v>
      </c>
      <c r="AJ21" s="27">
        <v>4813664.6666667201</v>
      </c>
      <c r="AK21" s="19"/>
      <c r="AL21" s="19"/>
      <c r="AM21" s="19"/>
      <c r="AN21" s="28">
        <v>197229624237</v>
      </c>
      <c r="AO21" s="29" t="s">
        <v>236</v>
      </c>
      <c r="AP21" s="29" t="s">
        <v>377</v>
      </c>
      <c r="AQ21" s="28">
        <v>745896325878</v>
      </c>
      <c r="AR21" s="19" t="s">
        <v>378</v>
      </c>
      <c r="AS21" s="19">
        <v>63</v>
      </c>
      <c r="AT21" s="19" t="s">
        <v>265</v>
      </c>
      <c r="AU21" s="19" t="s">
        <v>223</v>
      </c>
      <c r="AV21" s="19" t="s">
        <v>379</v>
      </c>
      <c r="AW21" s="19" t="s">
        <v>242</v>
      </c>
      <c r="AX21" s="19">
        <v>226500</v>
      </c>
      <c r="AY21" s="19"/>
      <c r="AZ21" s="19"/>
      <c r="BA21" s="19">
        <v>5</v>
      </c>
      <c r="BB21" s="19">
        <v>2</v>
      </c>
      <c r="BC21" s="19">
        <v>1</v>
      </c>
      <c r="BD21" s="19">
        <v>3</v>
      </c>
      <c r="BE21" s="19">
        <v>0</v>
      </c>
      <c r="BF21" s="19">
        <v>0</v>
      </c>
      <c r="BG21" s="19">
        <v>0</v>
      </c>
      <c r="BH21" s="19">
        <v>0</v>
      </c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</row>
    <row r="22" spans="1:94" x14ac:dyDescent="0.25">
      <c r="A22" s="19" t="s">
        <v>380</v>
      </c>
      <c r="B22" t="s">
        <v>381</v>
      </c>
      <c r="C22" s="19" t="s">
        <v>382</v>
      </c>
      <c r="D22" s="4" t="s">
        <v>383</v>
      </c>
      <c r="E22" s="4" t="s">
        <v>383</v>
      </c>
      <c r="F22" s="19" t="s">
        <v>293</v>
      </c>
      <c r="G22" s="19" t="s">
        <v>231</v>
      </c>
      <c r="H22" s="19" t="s">
        <v>294</v>
      </c>
      <c r="I22" s="19"/>
      <c r="J22" s="19" t="s">
        <v>213</v>
      </c>
      <c r="K22" s="19" t="s">
        <v>214</v>
      </c>
      <c r="L22" s="19" t="s">
        <v>214</v>
      </c>
      <c r="M22" s="4" t="s">
        <v>364</v>
      </c>
      <c r="N22" s="4" t="s">
        <v>384</v>
      </c>
      <c r="O22" s="4" t="s">
        <v>262</v>
      </c>
      <c r="P22" s="4" t="s">
        <v>263</v>
      </c>
      <c r="Q22" s="4"/>
      <c r="R22" s="25">
        <v>1.9826142857142901</v>
      </c>
      <c r="S22" s="25">
        <v>0.80221428571428499</v>
      </c>
      <c r="T22" s="25">
        <v>0.40529999999999999</v>
      </c>
      <c r="U22" s="25">
        <v>0.16400000000000001</v>
      </c>
      <c r="V22" s="19">
        <v>3200000</v>
      </c>
      <c r="W22" s="19">
        <v>1144995.66666668</v>
      </c>
      <c r="X22" s="19">
        <v>2289991.33333336</v>
      </c>
      <c r="Y22" s="19">
        <v>544</v>
      </c>
      <c r="Z22" s="32">
        <v>584595</v>
      </c>
      <c r="AA22" s="19">
        <v>2</v>
      </c>
      <c r="AB22" s="19">
        <v>2338380</v>
      </c>
      <c r="AC22" s="19"/>
      <c r="AD22" s="19"/>
      <c r="AE22" s="19">
        <v>5212966.33333336</v>
      </c>
      <c r="AF22" s="19">
        <v>5212966.33333336</v>
      </c>
      <c r="AG22" s="19"/>
      <c r="AH22" s="19">
        <v>80000</v>
      </c>
      <c r="AI22" s="27">
        <v>10585932.66666672</v>
      </c>
      <c r="AJ22" s="27">
        <v>10585932.66666672</v>
      </c>
      <c r="AK22" s="19"/>
      <c r="AL22" s="19"/>
      <c r="AM22" s="19"/>
      <c r="AN22" s="28">
        <v>210003926094</v>
      </c>
      <c r="AO22" s="29" t="s">
        <v>251</v>
      </c>
      <c r="AP22" s="29" t="s">
        <v>252</v>
      </c>
      <c r="AQ22" s="28">
        <v>852174589636</v>
      </c>
      <c r="AR22" s="19" t="s">
        <v>385</v>
      </c>
      <c r="AS22" s="19">
        <v>38</v>
      </c>
      <c r="AT22" s="19" t="s">
        <v>222</v>
      </c>
      <c r="AU22" s="19" t="s">
        <v>223</v>
      </c>
      <c r="AV22" s="19" t="s">
        <v>224</v>
      </c>
      <c r="AW22" s="19" t="s">
        <v>242</v>
      </c>
      <c r="AX22" s="19">
        <v>238000</v>
      </c>
      <c r="AY22" s="19" t="s">
        <v>343</v>
      </c>
      <c r="AZ22" s="19"/>
      <c r="BA22" s="19">
        <v>4</v>
      </c>
      <c r="BB22" s="19">
        <v>3</v>
      </c>
      <c r="BC22" s="19">
        <v>2</v>
      </c>
      <c r="BD22" s="19">
        <v>1</v>
      </c>
      <c r="BE22" s="19">
        <v>0</v>
      </c>
      <c r="BF22" s="19">
        <v>1</v>
      </c>
      <c r="BG22" s="19">
        <v>0</v>
      </c>
      <c r="BH22" s="19">
        <v>0</v>
      </c>
      <c r="BI22" s="19" t="s">
        <v>386</v>
      </c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</row>
    <row r="23" spans="1:94" x14ac:dyDescent="0.25">
      <c r="A23" s="19" t="s">
        <v>387</v>
      </c>
      <c r="B23" t="s">
        <v>388</v>
      </c>
      <c r="C23" s="19" t="s">
        <v>389</v>
      </c>
      <c r="D23" s="4" t="s">
        <v>390</v>
      </c>
      <c r="E23" s="4" t="s">
        <v>390</v>
      </c>
      <c r="F23" s="19" t="s">
        <v>293</v>
      </c>
      <c r="G23" s="19" t="s">
        <v>231</v>
      </c>
      <c r="H23" s="19" t="s">
        <v>294</v>
      </c>
      <c r="I23" s="19"/>
      <c r="J23" s="19" t="s">
        <v>213</v>
      </c>
      <c r="K23" s="19" t="s">
        <v>214</v>
      </c>
      <c r="L23" s="19" t="s">
        <v>214</v>
      </c>
      <c r="M23" s="4" t="s">
        <v>391</v>
      </c>
      <c r="N23" s="4" t="s">
        <v>392</v>
      </c>
      <c r="O23" s="4" t="s">
        <v>262</v>
      </c>
      <c r="P23" s="4" t="s">
        <v>263</v>
      </c>
      <c r="Q23" s="4"/>
      <c r="R23" s="25">
        <v>2.0539000000000001</v>
      </c>
      <c r="S23" s="25">
        <v>0.83105357142857095</v>
      </c>
      <c r="T23" s="25">
        <v>0.5</v>
      </c>
      <c r="U23" s="31">
        <v>0.20250000000000001</v>
      </c>
      <c r="V23" s="19">
        <v>2500000</v>
      </c>
      <c r="W23" s="19">
        <v>1130437.66666668</v>
      </c>
      <c r="X23" s="19">
        <v>2260875.33333336</v>
      </c>
      <c r="Y23" s="19">
        <v>78</v>
      </c>
      <c r="Z23" s="32">
        <v>78956</v>
      </c>
      <c r="AA23" s="19">
        <v>5</v>
      </c>
      <c r="AB23" s="19">
        <v>315824</v>
      </c>
      <c r="AC23" s="19"/>
      <c r="AD23" s="19"/>
      <c r="AE23" s="19">
        <v>2655655.33333336</v>
      </c>
      <c r="AF23" s="19">
        <v>2655655.33333336</v>
      </c>
      <c r="AG23" s="19"/>
      <c r="AH23" s="19">
        <v>84100</v>
      </c>
      <c r="AI23" s="27">
        <v>5479510.6666667201</v>
      </c>
      <c r="AJ23" s="27">
        <v>5479510.6666667201</v>
      </c>
      <c r="AK23" s="19"/>
      <c r="AL23" s="19"/>
      <c r="AM23" s="19"/>
      <c r="AN23" s="28">
        <v>222778227951</v>
      </c>
      <c r="AO23" s="29" t="s">
        <v>251</v>
      </c>
      <c r="AP23" s="29" t="s">
        <v>252</v>
      </c>
      <c r="AQ23" s="28">
        <v>963258741263</v>
      </c>
      <c r="AR23" s="19" t="s">
        <v>393</v>
      </c>
      <c r="AS23" s="19">
        <v>76</v>
      </c>
      <c r="AT23" s="19" t="s">
        <v>239</v>
      </c>
      <c r="AU23" s="19" t="s">
        <v>240</v>
      </c>
      <c r="AV23" s="19" t="s">
        <v>241</v>
      </c>
      <c r="AW23" s="19" t="s">
        <v>266</v>
      </c>
      <c r="AX23" s="19">
        <v>249500</v>
      </c>
      <c r="AY23" s="19"/>
      <c r="AZ23" s="19"/>
      <c r="BA23" s="19">
        <v>6</v>
      </c>
      <c r="BB23" s="19">
        <v>1</v>
      </c>
      <c r="BC23" s="19">
        <v>0</v>
      </c>
      <c r="BD23" s="19">
        <v>2</v>
      </c>
      <c r="BE23" s="19">
        <v>0</v>
      </c>
      <c r="BF23" s="19">
        <v>0</v>
      </c>
      <c r="BG23" s="19">
        <v>0</v>
      </c>
      <c r="BH23" s="19">
        <v>0</v>
      </c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</row>
    <row r="24" spans="1:94" x14ac:dyDescent="0.25">
      <c r="A24" s="19" t="s">
        <v>394</v>
      </c>
      <c r="B24" t="s">
        <v>395</v>
      </c>
      <c r="C24" s="19" t="s">
        <v>396</v>
      </c>
      <c r="D24" s="4" t="s">
        <v>397</v>
      </c>
      <c r="E24" s="4" t="s">
        <v>397</v>
      </c>
      <c r="F24" s="19" t="s">
        <v>313</v>
      </c>
      <c r="G24" s="19" t="s">
        <v>231</v>
      </c>
      <c r="H24" s="19" t="s">
        <v>214</v>
      </c>
      <c r="I24" s="19"/>
      <c r="J24" s="19" t="s">
        <v>233</v>
      </c>
      <c r="K24" s="19" t="s">
        <v>214</v>
      </c>
      <c r="L24" s="19" t="s">
        <v>214</v>
      </c>
      <c r="M24" s="4" t="s">
        <v>398</v>
      </c>
      <c r="N24" s="4">
        <v>811</v>
      </c>
      <c r="O24" s="4" t="s">
        <v>262</v>
      </c>
      <c r="P24" s="4" t="s">
        <v>263</v>
      </c>
      <c r="Q24" s="4"/>
      <c r="R24" s="25">
        <v>2.12518571428572</v>
      </c>
      <c r="S24" s="31">
        <v>0.85989285714285701</v>
      </c>
      <c r="T24" s="25">
        <v>0.98199999999999998</v>
      </c>
      <c r="U24" s="31">
        <v>0.39750000000000002</v>
      </c>
      <c r="V24" s="19">
        <v>3200000</v>
      </c>
      <c r="W24" s="19">
        <v>1115879.66666668</v>
      </c>
      <c r="X24" s="19">
        <v>2231759.33333336</v>
      </c>
      <c r="Y24" s="19">
        <v>52</v>
      </c>
      <c r="Z24" s="32">
        <v>12456</v>
      </c>
      <c r="AA24" s="19">
        <v>7</v>
      </c>
      <c r="AB24" s="19">
        <v>49824</v>
      </c>
      <c r="AC24" s="19"/>
      <c r="AD24" s="19"/>
      <c r="AE24" s="19">
        <v>2294039.33333336</v>
      </c>
      <c r="AF24" s="19">
        <v>2294039.33333336</v>
      </c>
      <c r="AG24" s="19"/>
      <c r="AH24" s="19">
        <v>88200</v>
      </c>
      <c r="AI24" s="27">
        <v>4764478.6666667201</v>
      </c>
      <c r="AJ24" s="27">
        <v>4764478.6666667201</v>
      </c>
      <c r="AK24" s="19"/>
      <c r="AL24" s="19"/>
      <c r="AM24" s="19"/>
      <c r="AN24" s="28">
        <v>235552529808</v>
      </c>
      <c r="AO24" s="29" t="s">
        <v>219</v>
      </c>
      <c r="AP24" s="19" t="s">
        <v>366</v>
      </c>
      <c r="AQ24" s="28">
        <v>745896325879</v>
      </c>
      <c r="AR24" s="19" t="s">
        <v>399</v>
      </c>
      <c r="AS24" s="19">
        <v>88</v>
      </c>
      <c r="AT24" s="19" t="s">
        <v>254</v>
      </c>
      <c r="AU24" s="19" t="s">
        <v>223</v>
      </c>
      <c r="AV24" s="19" t="s">
        <v>368</v>
      </c>
      <c r="AW24" s="19" t="s">
        <v>225</v>
      </c>
      <c r="AX24" s="19">
        <v>261000</v>
      </c>
      <c r="AY24" s="19"/>
      <c r="AZ24" s="19"/>
      <c r="BA24" s="19">
        <v>3</v>
      </c>
      <c r="BB24" s="19">
        <v>2</v>
      </c>
      <c r="BC24" s="19">
        <v>3</v>
      </c>
      <c r="BD24" s="19">
        <v>0</v>
      </c>
      <c r="BE24" s="19">
        <v>0</v>
      </c>
      <c r="BF24" s="19">
        <v>0</v>
      </c>
      <c r="BG24" s="19">
        <v>0</v>
      </c>
      <c r="BH24" s="19">
        <v>1</v>
      </c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</row>
    <row r="25" spans="1:94" x14ac:dyDescent="0.25">
      <c r="A25" s="19" t="s">
        <v>400</v>
      </c>
      <c r="B25" t="s">
        <v>401</v>
      </c>
      <c r="C25" s="19" t="s">
        <v>402</v>
      </c>
      <c r="D25" s="4" t="s">
        <v>403</v>
      </c>
      <c r="E25" s="4" t="s">
        <v>403</v>
      </c>
      <c r="F25" s="19" t="s">
        <v>303</v>
      </c>
      <c r="G25" s="19" t="s">
        <v>231</v>
      </c>
      <c r="H25" s="19" t="s">
        <v>212</v>
      </c>
      <c r="I25" s="19"/>
      <c r="J25" s="19" t="s">
        <v>233</v>
      </c>
      <c r="K25" s="19" t="s">
        <v>214</v>
      </c>
      <c r="L25" s="19" t="s">
        <v>214</v>
      </c>
      <c r="M25" s="4" t="s">
        <v>404</v>
      </c>
      <c r="N25" s="4">
        <v>815</v>
      </c>
      <c r="O25" s="4" t="s">
        <v>262</v>
      </c>
      <c r="P25" s="4" t="s">
        <v>263</v>
      </c>
      <c r="Q25" s="4"/>
      <c r="R25" s="25">
        <v>2.1964714285714302</v>
      </c>
      <c r="S25" s="31">
        <v>0.88873214285714197</v>
      </c>
      <c r="T25" s="25">
        <v>0.55600000000000005</v>
      </c>
      <c r="U25" s="31">
        <v>0.22500000000000001</v>
      </c>
      <c r="V25" s="19">
        <v>2700000</v>
      </c>
      <c r="W25" s="19">
        <v>1101321.66666668</v>
      </c>
      <c r="X25" s="19">
        <v>2202643.33333336</v>
      </c>
      <c r="Y25" s="19">
        <v>95</v>
      </c>
      <c r="Z25" s="32">
        <v>69853</v>
      </c>
      <c r="AA25" s="19">
        <v>6</v>
      </c>
      <c r="AB25" s="19">
        <v>279412</v>
      </c>
      <c r="AC25" s="19"/>
      <c r="AD25" s="19"/>
      <c r="AE25" s="19">
        <v>2551908.33333336</v>
      </c>
      <c r="AF25" s="19">
        <v>2551908.33333336</v>
      </c>
      <c r="AG25" s="19"/>
      <c r="AH25" s="19">
        <v>92300</v>
      </c>
      <c r="AI25" s="27">
        <v>5288416.6666667201</v>
      </c>
      <c r="AJ25" s="27">
        <v>5288416.6666667201</v>
      </c>
      <c r="AK25" s="19"/>
      <c r="AL25" s="19"/>
      <c r="AM25" s="19"/>
      <c r="AN25" s="28">
        <v>248326831665</v>
      </c>
      <c r="AO25" s="29" t="s">
        <v>236</v>
      </c>
      <c r="AP25" s="29" t="s">
        <v>286</v>
      </c>
      <c r="AQ25" s="28">
        <v>852174589637</v>
      </c>
      <c r="AR25" s="19" t="s">
        <v>405</v>
      </c>
      <c r="AS25" s="19">
        <v>54</v>
      </c>
      <c r="AT25" s="19" t="s">
        <v>265</v>
      </c>
      <c r="AU25" s="19" t="s">
        <v>240</v>
      </c>
      <c r="AV25" s="19" t="s">
        <v>224</v>
      </c>
      <c r="AW25" s="19" t="s">
        <v>225</v>
      </c>
      <c r="AX25" s="19">
        <v>272500</v>
      </c>
      <c r="AY25" s="19"/>
      <c r="AZ25" s="19"/>
      <c r="BA25" s="19">
        <v>5</v>
      </c>
      <c r="BB25" s="19">
        <v>3</v>
      </c>
      <c r="BC25" s="19">
        <v>2</v>
      </c>
      <c r="BD25" s="19">
        <v>2</v>
      </c>
      <c r="BE25" s="19">
        <v>0</v>
      </c>
      <c r="BF25" s="19">
        <v>0</v>
      </c>
      <c r="BG25" s="19">
        <v>0</v>
      </c>
      <c r="BH25" s="19">
        <v>0</v>
      </c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</row>
    <row r="26" spans="1:94" x14ac:dyDescent="0.25">
      <c r="A26" s="19"/>
      <c r="B26" s="4"/>
      <c r="C26" s="19"/>
      <c r="D26" s="4"/>
      <c r="E26" s="4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5"/>
      <c r="S26" s="31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28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</row>
    <row r="27" spans="1:94" x14ac:dyDescent="0.25">
      <c r="A27" s="19"/>
      <c r="B27" s="4"/>
      <c r="C27" s="19"/>
      <c r="D27" s="4"/>
      <c r="E27" s="4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4"/>
      <c r="S27" s="25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</row>
    <row r="28" spans="1:94" x14ac:dyDescent="0.25">
      <c r="A28" s="19"/>
      <c r="B28" s="4"/>
      <c r="C28" s="19"/>
      <c r="D28" s="4"/>
      <c r="E28" s="4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30"/>
      <c r="S28" s="31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</row>
    <row r="29" spans="1:94" x14ac:dyDescent="0.25">
      <c r="A29" s="19"/>
      <c r="B29" s="4"/>
      <c r="C29" s="19"/>
      <c r="D29" s="4"/>
      <c r="E29" s="4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25"/>
      <c r="S29" s="25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</row>
    <row r="30" spans="1:94" x14ac:dyDescent="0.25">
      <c r="A30" s="19"/>
      <c r="B30" s="4"/>
      <c r="C30" s="19"/>
      <c r="D30" s="4"/>
      <c r="E30" s="4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5"/>
      <c r="S30" s="31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</row>
    <row r="31" spans="1:94" x14ac:dyDescent="0.25">
      <c r="A31" s="19"/>
      <c r="B31" s="4"/>
      <c r="C31" s="19"/>
      <c r="D31" s="4"/>
      <c r="E31" s="4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5"/>
      <c r="S31" s="31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</row>
    <row r="32" spans="1:94" x14ac:dyDescent="0.25">
      <c r="A32" s="19"/>
      <c r="B32" s="4"/>
      <c r="C32" s="19"/>
      <c r="D32" s="4"/>
      <c r="E32" s="4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25"/>
      <c r="S32" s="31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</row>
    <row r="33" spans="1:94" x14ac:dyDescent="0.25">
      <c r="A33" s="19"/>
      <c r="B33" s="4"/>
      <c r="C33" s="19"/>
      <c r="D33" s="4"/>
      <c r="E33" s="4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24"/>
      <c r="S33" s="25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</row>
    <row r="34" spans="1:94" x14ac:dyDescent="0.25">
      <c r="A34" s="19"/>
      <c r="B34" s="4"/>
      <c r="C34" s="19"/>
      <c r="D34" s="4"/>
      <c r="E34" s="4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30"/>
      <c r="S34" s="31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</row>
    <row r="35" spans="1:94" x14ac:dyDescent="0.25">
      <c r="A35" s="19"/>
      <c r="B35" s="4"/>
      <c r="C35" s="19"/>
      <c r="D35" s="4"/>
      <c r="E35" s="4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25"/>
      <c r="S35" s="25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</row>
    <row r="36" spans="1:94" x14ac:dyDescent="0.25">
      <c r="A36" s="19"/>
      <c r="B36" s="4"/>
      <c r="C36" s="19"/>
      <c r="D36" s="4"/>
      <c r="E36" s="4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25"/>
      <c r="S36" s="25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</row>
    <row r="37" spans="1:94" x14ac:dyDescent="0.25">
      <c r="A37" s="19"/>
      <c r="B37" s="4"/>
      <c r="C37" s="19"/>
      <c r="D37" s="4"/>
      <c r="E37" s="4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25"/>
      <c r="S37" s="31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</row>
    <row r="38" spans="1:94" x14ac:dyDescent="0.25">
      <c r="A38" s="19"/>
      <c r="B38" s="4"/>
      <c r="C38" s="19"/>
      <c r="D38" s="4"/>
      <c r="E38" s="4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25"/>
      <c r="S38" s="31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</row>
    <row r="39" spans="1:94" x14ac:dyDescent="0.25">
      <c r="A39" s="19"/>
      <c r="B39" s="4"/>
      <c r="C39" s="19"/>
      <c r="D39" s="4"/>
      <c r="E39" s="4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25"/>
      <c r="S39" s="31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</row>
    <row r="40" spans="1:94" x14ac:dyDescent="0.25">
      <c r="A40" s="19"/>
      <c r="B40" s="4"/>
      <c r="C40" s="19"/>
      <c r="D40" s="4"/>
      <c r="E40" s="4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4"/>
      <c r="S40" s="25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</row>
    <row r="41" spans="1:94" x14ac:dyDescent="0.25">
      <c r="A41" s="19"/>
      <c r="B41" s="4"/>
      <c r="C41" s="19"/>
      <c r="D41" s="4"/>
      <c r="E41" s="4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30"/>
      <c r="S41" s="31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</row>
    <row r="42" spans="1:94" x14ac:dyDescent="0.25">
      <c r="A42" s="19"/>
      <c r="B42" s="4"/>
      <c r="C42" s="19"/>
      <c r="D42" s="4"/>
      <c r="E42" s="4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25"/>
      <c r="S42" s="25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</row>
    <row r="43" spans="1:94" x14ac:dyDescent="0.25">
      <c r="A43" s="19"/>
      <c r="B43" s="4"/>
      <c r="C43" s="19"/>
      <c r="D43" s="4"/>
      <c r="E43" s="4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25"/>
      <c r="S43" s="25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</row>
    <row r="44" spans="1:94" x14ac:dyDescent="0.25">
      <c r="A44" s="19"/>
      <c r="B44" s="4"/>
      <c r="C44" s="19"/>
      <c r="D44" s="4"/>
      <c r="E44" s="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25"/>
      <c r="S44" s="31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</row>
    <row r="45" spans="1:94" x14ac:dyDescent="0.25">
      <c r="A45" s="19"/>
      <c r="B45" s="4"/>
      <c r="C45" s="19"/>
      <c r="D45" s="4"/>
      <c r="E45" s="4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25"/>
      <c r="S45" s="31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</row>
    <row r="46" spans="1:94" x14ac:dyDescent="0.25">
      <c r="A46" s="19"/>
      <c r="B46" s="4"/>
      <c r="C46" s="19"/>
      <c r="D46" s="4"/>
      <c r="E46" s="4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25"/>
      <c r="S46" s="31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</row>
    <row r="47" spans="1:94" x14ac:dyDescent="0.25">
      <c r="A47" s="19"/>
      <c r="B47" s="4"/>
      <c r="C47" s="19"/>
      <c r="D47" s="4"/>
      <c r="E47" s="4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24"/>
      <c r="S47" s="25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</row>
    <row r="48" spans="1:94" x14ac:dyDescent="0.25">
      <c r="A48" s="19"/>
      <c r="B48" s="4"/>
      <c r="C48" s="19"/>
      <c r="D48" s="4"/>
      <c r="E48" s="4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30"/>
      <c r="S48" s="31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</row>
    <row r="49" spans="1:94" x14ac:dyDescent="0.25">
      <c r="A49" s="19"/>
      <c r="B49" s="4"/>
      <c r="C49" s="19"/>
      <c r="D49" s="4"/>
      <c r="E49" s="4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25"/>
      <c r="S49" s="25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</row>
    <row r="50" spans="1:94" x14ac:dyDescent="0.25">
      <c r="A50" s="19"/>
      <c r="B50" s="4"/>
      <c r="C50" s="19"/>
      <c r="D50" s="4"/>
      <c r="E50" s="4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</row>
    <row r="51" spans="1:94" x14ac:dyDescent="0.25">
      <c r="A51" s="19"/>
      <c r="B51" s="4"/>
      <c r="C51" s="19"/>
      <c r="D51" s="4"/>
      <c r="E51" s="4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</row>
    <row r="52" spans="1:94" x14ac:dyDescent="0.25">
      <c r="A52" s="19"/>
      <c r="B52" s="4"/>
      <c r="C52" s="19"/>
      <c r="D52" s="4"/>
      <c r="E52" s="4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</row>
    <row r="53" spans="1:94" x14ac:dyDescent="0.25">
      <c r="A53" s="19"/>
      <c r="B53" s="4"/>
      <c r="C53" s="19"/>
      <c r="D53" s="4"/>
      <c r="E53" s="4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</row>
    <row r="54" spans="1:94" x14ac:dyDescent="0.25">
      <c r="A54" s="19"/>
      <c r="B54" s="4"/>
      <c r="C54" s="19"/>
      <c r="D54" s="4"/>
      <c r="E54" s="4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</row>
    <row r="55" spans="1:94" x14ac:dyDescent="0.25">
      <c r="A55" s="19"/>
      <c r="B55" s="4"/>
      <c r="C55" s="19"/>
      <c r="D55" s="4"/>
      <c r="E55" s="4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</row>
    <row r="56" spans="1:94" x14ac:dyDescent="0.25">
      <c r="A56" s="19"/>
      <c r="B56" s="4"/>
      <c r="C56" s="19"/>
      <c r="D56" s="4"/>
      <c r="E56" s="4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</row>
    <row r="57" spans="1:94" x14ac:dyDescent="0.25">
      <c r="A57" s="19"/>
      <c r="B57" s="4"/>
      <c r="C57" s="19"/>
      <c r="D57" s="4"/>
      <c r="E57" s="4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</row>
    <row r="58" spans="1:94" x14ac:dyDescent="0.25">
      <c r="A58" s="19"/>
      <c r="B58" s="4"/>
      <c r="C58" s="19"/>
      <c r="D58" s="4"/>
      <c r="E58" s="4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</row>
    <row r="59" spans="1:94" x14ac:dyDescent="0.25">
      <c r="A59" s="19"/>
      <c r="B59" s="4"/>
      <c r="C59" s="19"/>
      <c r="D59" s="4"/>
      <c r="E59" s="4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</row>
    <row r="60" spans="1:94" x14ac:dyDescent="0.25">
      <c r="A60" s="19"/>
      <c r="B60" s="4"/>
      <c r="C60" s="19"/>
      <c r="D60" s="4"/>
      <c r="E60" s="4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</row>
    <row r="61" spans="1:94" x14ac:dyDescent="0.25">
      <c r="A61" s="19"/>
      <c r="B61" s="4"/>
      <c r="C61" s="19"/>
      <c r="D61" s="4"/>
      <c r="E61" s="4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</row>
    <row r="62" spans="1:94" x14ac:dyDescent="0.25">
      <c r="A62" s="19"/>
      <c r="B62" s="4"/>
      <c r="C62" s="19"/>
      <c r="D62" s="4"/>
      <c r="E62" s="4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</row>
    <row r="63" spans="1:94" x14ac:dyDescent="0.25">
      <c r="A63" s="19"/>
      <c r="B63" s="4"/>
      <c r="C63" s="19"/>
      <c r="D63" s="4"/>
      <c r="E63" s="4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</row>
    <row r="64" spans="1:94" x14ac:dyDescent="0.25">
      <c r="A64" s="19"/>
      <c r="B64" s="4"/>
      <c r="C64" s="19"/>
      <c r="D64" s="4"/>
      <c r="E64" s="4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</row>
    <row r="65" spans="1:94" x14ac:dyDescent="0.25">
      <c r="A65" s="19"/>
      <c r="B65" s="4"/>
      <c r="C65" s="19"/>
      <c r="D65" s="4"/>
      <c r="E65" s="4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</row>
    <row r="66" spans="1:94" x14ac:dyDescent="0.25">
      <c r="A66" s="19"/>
      <c r="B66" s="4"/>
      <c r="C66" s="19"/>
      <c r="D66" s="4"/>
      <c r="E66" s="4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</row>
    <row r="67" spans="1:94" x14ac:dyDescent="0.25">
      <c r="A67" s="19"/>
      <c r="B67" s="4"/>
      <c r="C67" s="19"/>
      <c r="D67" s="4"/>
      <c r="E67" s="4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</row>
    <row r="68" spans="1:94" x14ac:dyDescent="0.25">
      <c r="A68" s="19"/>
      <c r="B68" s="4"/>
      <c r="C68" s="19"/>
      <c r="D68" s="4"/>
      <c r="E68" s="4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</row>
    <row r="69" spans="1:94" x14ac:dyDescent="0.25">
      <c r="A69" s="19"/>
      <c r="B69" s="4"/>
      <c r="C69" s="19"/>
      <c r="D69" s="4"/>
      <c r="E69" s="4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</row>
    <row r="70" spans="1:94" x14ac:dyDescent="0.25">
      <c r="A70" s="19"/>
      <c r="B70" s="4"/>
      <c r="C70" s="19"/>
      <c r="D70" s="4"/>
      <c r="E70" s="4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</row>
    <row r="71" spans="1:94" x14ac:dyDescent="0.25">
      <c r="A71" s="19"/>
      <c r="B71" s="4"/>
      <c r="C71" s="19"/>
      <c r="D71" s="4"/>
      <c r="E71" s="4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</row>
    <row r="72" spans="1:94" x14ac:dyDescent="0.25">
      <c r="A72" s="19"/>
      <c r="B72" s="4"/>
      <c r="C72" s="19"/>
      <c r="D72" s="4"/>
      <c r="E72" s="4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</row>
    <row r="73" spans="1:94" x14ac:dyDescent="0.25">
      <c r="A73" s="19"/>
      <c r="B73" s="4"/>
      <c r="C73" s="19"/>
      <c r="D73" s="4"/>
      <c r="E73" s="4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</row>
    <row r="74" spans="1:94" x14ac:dyDescent="0.25">
      <c r="A74" s="19"/>
      <c r="B74" s="4"/>
      <c r="C74" s="19"/>
      <c r="D74" s="4"/>
      <c r="E74" s="4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</row>
  </sheetData>
  <conditionalFormatting sqref="M4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mahesh BNB</cp:lastModifiedBy>
  <dcterms:created xsi:type="dcterms:W3CDTF">2015-06-05T18:17:20Z</dcterms:created>
  <dcterms:modified xsi:type="dcterms:W3CDTF">2026-04-13T07:49:30Z</dcterms:modified>
</cp:coreProperties>
</file>