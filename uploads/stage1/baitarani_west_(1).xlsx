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BFA2CE2F-0B61-4183-8CB1-091F74A59F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" i="3" l="1"/>
  <c r="AF2" i="3"/>
  <c r="AJ2" i="3" s="1"/>
</calcChain>
</file>

<file path=xl/sharedStrings.xml><?xml version="1.0" encoding="utf-8"?>
<sst xmlns="http://schemas.openxmlformats.org/spreadsheetml/2006/main" count="460" uniqueCount="253">
  <si>
    <t>SES Survey No.</t>
  </si>
  <si>
    <t>Date of Award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</si>
  <si>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</si>
  <si>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</si>
  <si>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</si>
  <si>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</si>
  <si>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</si>
  <si>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</si>
  <si>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</si>
  <si>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</si>
  <si>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</si>
  <si>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</si>
  <si>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</si>
  <si>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</si>
  <si>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</si>
  <si>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</si>
  <si>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Detail of Structures other than House</t>
  </si>
  <si>
    <t xml:space="preserve">Solatium @ of (100%) </t>
  </si>
  <si>
    <t xml:space="preserve">12% additional compensation on market value of land area </t>
  </si>
  <si>
    <t>Total Compensation Amount</t>
  </si>
  <si>
    <t>PAN No.</t>
  </si>
  <si>
    <t>Age</t>
  </si>
  <si>
    <t>Caste</t>
  </si>
  <si>
    <t>Marital Status</t>
  </si>
  <si>
    <t>Education</t>
  </si>
  <si>
    <t>Occupation</t>
  </si>
  <si>
    <t>Annual Income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</si>
  <si>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</si>
  <si>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</si>
  <si>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</si>
  <si>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</si>
  <si>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</si>
  <si>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</si>
  <si>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Land Case - Date (Date)</t>
  </si>
  <si>
    <t>Land Case Type</t>
  </si>
  <si>
    <t>Land case - Status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</si>
  <si>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</si>
  <si>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</si>
  <si>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</si>
  <si>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</si>
  <si>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</si>
  <si>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</si>
  <si>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</si>
  <si>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</si>
  <si>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</si>
  <si>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</si>
  <si>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</si>
  <si>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</si>
  <si>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</si>
  <si>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</si>
  <si>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 Date</t>
  </si>
  <si>
    <t>Grievance - Subject Matter</t>
  </si>
  <si>
    <t>Grievance - Present Status</t>
  </si>
  <si>
    <t>Gharabari</t>
  </si>
  <si>
    <t>407/73</t>
  </si>
  <si>
    <t>Nrusingh Charan Majhi</t>
  </si>
  <si>
    <t>GMDC/HDG/0319</t>
  </si>
  <si>
    <t>Handigoda</t>
  </si>
  <si>
    <t>1260/3441</t>
  </si>
  <si>
    <t>V</t>
  </si>
  <si>
    <t>chhendipada</t>
  </si>
  <si>
    <t>Nrushingh Charan Majhi</t>
  </si>
  <si>
    <t>32510839073</t>
  </si>
  <si>
    <t>State Bank of India</t>
  </si>
  <si>
    <t>SBIN0002042</t>
  </si>
  <si>
    <t>4088 8314 0796</t>
  </si>
  <si>
    <t>Balipata</t>
  </si>
  <si>
    <t>FXOPM9594R</t>
  </si>
  <si>
    <t>married</t>
  </si>
  <si>
    <t>no</t>
  </si>
  <si>
    <t>E-LHC/2024/226926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</si>
  <si>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</si>
  <si>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</si>
  <si>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</si>
  <si>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</si>
  <si>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</si>
  <si>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</si>
  <si>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</si>
  <si>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</si>
  <si>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</si>
  <si>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</si>
  <si>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</si>
  <si>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</si>
  <si>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</si>
  <si>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</si>
  <si>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</si>
  <si>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</si>
  <si>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</si>
  <si>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Full/Part</t>
  </si>
  <si>
    <t>Full</t>
  </si>
  <si>
    <t>No. of days of Interest</t>
  </si>
  <si>
    <t>District</t>
  </si>
  <si>
    <t>Angul</t>
  </si>
  <si>
    <t>No</t>
  </si>
  <si>
    <t>Electrician</t>
  </si>
  <si>
    <t>Name of Recorded Tenant</t>
  </si>
  <si>
    <t>Name of Present Tenant(s)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</si>
  <si>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</si>
  <si>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</si>
  <si>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</si>
  <si>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</si>
  <si>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</si>
  <si>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</si>
  <si>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</si>
  <si>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</si>
  <si>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</si>
  <si>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</si>
  <si>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</si>
  <si>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</si>
  <si>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</si>
  <si>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</si>
  <si>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</si>
  <si>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</si>
  <si>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</si>
  <si>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</si>
  <si>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</si>
  <si>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</si>
  <si>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</si>
  <si>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category of Land</t>
  </si>
  <si>
    <t>Remarks</t>
  </si>
  <si>
    <t>Total Land Area (in Hectares)</t>
  </si>
  <si>
    <t xml:space="preserve">Total Land Area (In Acres) </t>
  </si>
  <si>
    <t>Aquired Land Area (In Hectares)</t>
  </si>
  <si>
    <t>Aquired Land Area (In Acres)</t>
  </si>
  <si>
    <t>Bench Mark Value</t>
  </si>
  <si>
    <t xml:space="preserve">Value of structures other than House
</t>
  </si>
  <si>
    <t>Total Value  (Land-LA6 + Tree-LA9+ House-LA11 + Structures-LA13)</t>
  </si>
  <si>
    <t>Value of Structure (House)</t>
  </si>
  <si>
    <t>Apportionment Amount of the Award for the Individual Family Member</t>
  </si>
  <si>
    <t>Priority/Urgency</t>
  </si>
  <si>
    <t>Land Use Plan</t>
  </si>
  <si>
    <t>Bank Account No.</t>
  </si>
  <si>
    <t>Name of the Bank</t>
  </si>
  <si>
    <t>Name of the Branch with IFSC Code</t>
  </si>
  <si>
    <t>Aadhaar No.</t>
  </si>
  <si>
    <t>Date of Deposit</t>
  </si>
  <si>
    <t>Tribunal (Yes/No)</t>
  </si>
  <si>
    <t>Tribunal - Amount Deposited</t>
  </si>
  <si>
    <t>Grievance - Action taken</t>
  </si>
  <si>
    <t xml:space="preserve">Grievance No. </t>
  </si>
  <si>
    <t>Land Case - Action</t>
  </si>
  <si>
    <t>Land Case - No. (Number</t>
  </si>
  <si>
    <t>Legal Heir Certificate No. (if any)</t>
  </si>
  <si>
    <t>Family with Orphan Members (Yes/No)</t>
  </si>
  <si>
    <t>No. of Family Members (Major Male)</t>
  </si>
  <si>
    <t>Affidavit with subject details (if any)</t>
  </si>
  <si>
    <t>Skill Acquired</t>
  </si>
  <si>
    <t>Land Owner Details</t>
  </si>
  <si>
    <t>Land Details</t>
  </si>
  <si>
    <t>Land Acquisition Details</t>
  </si>
  <si>
    <t>Bank Details</t>
  </si>
  <si>
    <t>Personal Details</t>
  </si>
  <si>
    <t>Family Details</t>
  </si>
  <si>
    <t>Legal issue Details</t>
  </si>
  <si>
    <t>Grievance Details</t>
  </si>
  <si>
    <t>Tribunal Details</t>
  </si>
  <si>
    <t>Rehabilitation &amp; Resettlement Details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</si>
  <si>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</si>
  <si>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</si>
  <si>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</si>
  <si>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</si>
  <si>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</si>
  <si>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</si>
  <si>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</si>
  <si>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</si>
  <si>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</si>
  <si>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</si>
  <si>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</si>
  <si>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</si>
  <si>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</si>
  <si>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</si>
  <si>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</si>
  <si>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</si>
  <si>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</si>
  <si>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</si>
  <si>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</si>
  <si>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</si>
  <si>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</si>
  <si>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</si>
  <si>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</si>
  <si>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</si>
  <si>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</si>
  <si>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</si>
  <si>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</si>
  <si>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</si>
  <si>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</si>
  <si>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</si>
  <si>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</si>
  <si>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</si>
  <si>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</si>
  <si>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</si>
  <si>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</si>
  <si>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</si>
  <si>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</si>
  <si>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</si>
  <si>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</si>
  <si>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</si>
  <si>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</si>
  <si>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</si>
  <si>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</si>
  <si>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</si>
  <si>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</si>
  <si>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</si>
  <si>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</si>
  <si>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</si>
  <si>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</si>
  <si>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</si>
  <si>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</si>
  <si>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</si>
  <si>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</si>
  <si>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</si>
  <si>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</si>
  <si>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</si>
  <si>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</si>
  <si>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</si>
  <si>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</si>
  <si>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</si>
  <si>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</si>
  <si>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</si>
  <si>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</si>
  <si>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</si>
  <si>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</si>
  <si>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</si>
  <si>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</si>
  <si>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Column Code</t>
  </si>
  <si>
    <t>Column Code Details</t>
  </si>
  <si>
    <t>Column Name</t>
  </si>
  <si>
    <t>LA Case File No.</t>
  </si>
  <si>
    <t>LA00</t>
  </si>
  <si>
    <t>Land Acquisition case details</t>
  </si>
  <si>
    <t>Debadhi Majhi</t>
  </si>
  <si>
    <t>Antaryami Majhi,Srinibas Majhi,Sunanda Majhi,Fakir Mohan Majhi,Tapaswini Majhi,Minati Pradhan,Hemalata Behera</t>
  </si>
  <si>
    <t>At-Handigoda, Po- Tentuloi, PS-Chhendipada, Dist.- Angul, Pin- 759124</t>
  </si>
  <si>
    <t>312/2953</t>
  </si>
  <si>
    <t>Taila</t>
  </si>
  <si>
    <t>III</t>
  </si>
  <si>
    <t xml:space="preserve">for the necessity of project land is being more </t>
  </si>
  <si>
    <t>PAF</t>
  </si>
  <si>
    <t>Pond</t>
  </si>
  <si>
    <t>Part</t>
  </si>
  <si>
    <t>critical public purpose</t>
  </si>
  <si>
    <t>mining Area</t>
  </si>
  <si>
    <t>11598477934</t>
  </si>
  <si>
    <t>5407 4048 3901</t>
  </si>
  <si>
    <t>CENPM1928N</t>
  </si>
  <si>
    <t>Chasa</t>
  </si>
  <si>
    <t>GMDC/HDG/0333</t>
  </si>
  <si>
    <t>partition suit</t>
  </si>
  <si>
    <t>pending</t>
  </si>
  <si>
    <t>legal action</t>
  </si>
  <si>
    <t>legal</t>
  </si>
  <si>
    <t>Matric</t>
  </si>
  <si>
    <t>contractors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</si>
</sst>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0;[Red]0.00"/>
    <numFmt numFmtId="166" formatCode="0_ ;\-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2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center" vertical="center"/>
    </xf>
    <xf numFmtId="165" fontId="4" fillId="0" borderId="2" xfId="2" applyNumberFormat="1" applyFont="1" applyFill="1" applyBorder="1" applyAlignment="1">
      <alignment horizontal="center" vertical="center"/>
    </xf>
    <xf numFmtId="1" fontId="4" fillId="0" borderId="2" xfId="2" applyNumberFormat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166" fontId="7" fillId="2" borderId="1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51"/>
  <sheetViews>
    <sheetView tabSelected="1" topLeftCell="S1" workbookViewId="0">
      <selection activeCell="AH2" sqref="AH2"/>
    </sheetView>
  </sheetViews>
  <sheetFormatPr defaultRowHeight="15" x14ac:dyDescent="0.25"/>
  <cols>
    <col min="1" max="1" width="19.7109375" style="13" customWidth="1"/>
    <col min="2" max="2" width="17.42578125" customWidth="1"/>
    <col min="3" max="3" width="19.5703125" customWidth="1"/>
    <col min="4" max="4" width="23" customWidth="1"/>
    <col min="7" max="7" width="15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6" max="36" width="14.7109375" customWidth="1"/>
    <col min="37" max="37" width="17.85546875" customWidth="1"/>
    <col min="41" max="41" width="15.42578125" customWidth="1"/>
    <col min="44" max="44" width="13.28515625" customWidth="1"/>
    <col min="50" max="50" width="13.14062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8" t="s">
        <v>228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157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98</v>
      </c>
      <c r="R1" s="1" t="s">
        <v>99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97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112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214</v>
      </c>
      <c r="BX1" s="1" t="s">
        <v>215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216</v>
      </c>
      <c r="CE1" s="1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</row>
    <row r="2" spans="1:89" ht="150" x14ac:dyDescent="0.25">
      <c r="A2" s="16"/>
      <c r="B2" s="17" t="s">
        <v>55</v>
      </c>
      <c r="C2" s="18" t="s">
        <v>61</v>
      </c>
      <c r="D2" s="19" t="s">
        <v>72</v>
      </c>
      <c r="E2" s="20" t="s">
        <v>80</v>
      </c>
      <c r="F2" s="20">
        <v>1</v>
      </c>
      <c r="G2" s="21">
        <v>46100</v>
      </c>
      <c r="H2" s="20" t="s">
        <v>92</v>
      </c>
      <c r="I2" s="22" t="s">
        <v>57</v>
      </c>
      <c r="J2" s="20" t="s">
        <v>60</v>
      </c>
      <c r="K2" s="20" t="s">
        <v>66</v>
      </c>
      <c r="L2" s="20">
        <v>76</v>
      </c>
      <c r="M2" s="20" t="s">
        <v>54</v>
      </c>
      <c r="N2" s="23" t="s">
        <v>58</v>
      </c>
      <c r="O2" s="20" t="s">
        <v>53</v>
      </c>
      <c r="P2" s="24" t="s">
        <v>59</v>
      </c>
      <c r="Q2" s="25" t="s">
        <v>87</v>
      </c>
      <c r="R2" s="20" t="s">
        <v>89</v>
      </c>
      <c r="S2" s="26">
        <v>4.3999999999999997E-2</v>
      </c>
      <c r="T2" s="26">
        <v>1.7999999999999999E-2</v>
      </c>
      <c r="U2" s="26">
        <v>4.3999999999999997E-2</v>
      </c>
      <c r="V2" s="26">
        <v>1.7999999999999999E-2</v>
      </c>
      <c r="W2" s="27">
        <v>2951781</v>
      </c>
      <c r="X2" s="28">
        <v>129878</v>
      </c>
      <c r="Y2" s="29">
        <v>259756</v>
      </c>
      <c r="Z2" s="20">
        <v>15</v>
      </c>
      <c r="AA2" s="30">
        <v>9944</v>
      </c>
      <c r="AB2" s="20">
        <v>21</v>
      </c>
      <c r="AC2" s="30">
        <v>184914</v>
      </c>
      <c r="AD2" s="20">
        <v>3</v>
      </c>
      <c r="AE2" s="30">
        <v>15000</v>
      </c>
      <c r="AF2" s="30">
        <f>AA2+AC2+AE2</f>
        <v>209858</v>
      </c>
      <c r="AG2" s="30">
        <f>AF2</f>
        <v>209858</v>
      </c>
      <c r="AH2" s="30">
        <v>2</v>
      </c>
      <c r="AI2" s="30">
        <v>36465</v>
      </c>
      <c r="AJ2" s="30">
        <f>AG2+AI2</f>
        <v>246323</v>
      </c>
      <c r="AK2" s="30">
        <v>945693</v>
      </c>
      <c r="AL2" s="19" t="s">
        <v>84</v>
      </c>
      <c r="AM2" s="19" t="s">
        <v>85</v>
      </c>
      <c r="AN2" s="19" t="s">
        <v>86</v>
      </c>
      <c r="AO2" s="31" t="s">
        <v>62</v>
      </c>
      <c r="AP2" s="16" t="s">
        <v>63</v>
      </c>
      <c r="AQ2" s="16" t="s">
        <v>64</v>
      </c>
      <c r="AR2" s="16" t="s">
        <v>65</v>
      </c>
      <c r="AS2" s="19" t="s">
        <v>67</v>
      </c>
      <c r="AT2" s="20">
        <v>36</v>
      </c>
      <c r="AU2" s="11" t="s">
        <v>71</v>
      </c>
      <c r="AV2" s="20" t="s">
        <v>68</v>
      </c>
      <c r="AW2" s="20" t="s">
        <v>79</v>
      </c>
      <c r="AX2" s="20" t="s">
        <v>78</v>
      </c>
      <c r="AY2" s="20">
        <v>130000</v>
      </c>
      <c r="AZ2" s="20" t="s">
        <v>94</v>
      </c>
      <c r="BA2" s="20" t="s">
        <v>81</v>
      </c>
      <c r="BB2" s="20">
        <v>1</v>
      </c>
      <c r="BC2" s="20">
        <v>1</v>
      </c>
      <c r="BD2" s="20">
        <v>1</v>
      </c>
      <c r="BE2" s="20">
        <v>2</v>
      </c>
      <c r="BF2" s="20">
        <v>0</v>
      </c>
      <c r="BG2" s="20">
        <v>0</v>
      </c>
      <c r="BH2" s="20">
        <v>1</v>
      </c>
      <c r="BI2" s="20" t="s">
        <v>93</v>
      </c>
      <c r="BJ2" s="32" t="s">
        <v>70</v>
      </c>
      <c r="BK2" s="19" t="s">
        <v>56</v>
      </c>
      <c r="BL2" s="21">
        <v>46025</v>
      </c>
      <c r="BM2" s="20" t="s">
        <v>73</v>
      </c>
      <c r="BN2" s="20" t="s">
        <v>74</v>
      </c>
      <c r="BO2" s="20" t="s">
        <v>82</v>
      </c>
      <c r="BP2" s="20" t="s">
        <v>75</v>
      </c>
      <c r="BQ2" s="20" t="s">
        <v>69</v>
      </c>
      <c r="BR2" s="20" t="s">
        <v>69</v>
      </c>
      <c r="BS2" s="20" t="s">
        <v>69</v>
      </c>
      <c r="BT2" s="20" t="s">
        <v>69</v>
      </c>
      <c r="BU2" s="20" t="s">
        <v>69</v>
      </c>
      <c r="BV2" s="20" t="s">
        <v>69</v>
      </c>
      <c r="BW2" s="20" t="s">
        <v>69</v>
      </c>
      <c r="BX2" s="20" t="s">
        <v>69</v>
      </c>
      <c r="BY2" s="20" t="s">
        <v>69</v>
      </c>
      <c r="BZ2" s="20" t="s">
        <v>69</v>
      </c>
      <c r="CA2" s="20" t="s">
        <v>69</v>
      </c>
      <c r="CB2" s="20" t="s">
        <v>69</v>
      </c>
      <c r="CC2" s="20" t="s">
        <v>69</v>
      </c>
      <c r="CD2" s="33" t="s">
        <v>76</v>
      </c>
      <c r="CE2" s="21">
        <v>46145</v>
      </c>
      <c r="CF2" s="20" t="s">
        <v>77</v>
      </c>
      <c r="CG2" s="20" t="s">
        <v>74</v>
      </c>
      <c r="CH2" s="20" t="s">
        <v>83</v>
      </c>
      <c r="CI2" s="20" t="s">
        <v>93</v>
      </c>
      <c r="CJ2" s="21">
        <v>46048</v>
      </c>
      <c r="CK2" s="34">
        <v>20000</v>
      </c>
    </row>
    <row r="3" spans="1:89" ht="165" x14ac:dyDescent="0.25">
      <c r="A3" s="35"/>
      <c r="B3" s="3" t="s">
        <v>230</v>
      </c>
      <c r="C3" s="36" t="s">
        <v>231</v>
      </c>
      <c r="D3" s="36" t="s">
        <v>232</v>
      </c>
      <c r="E3" s="7" t="s">
        <v>237</v>
      </c>
      <c r="F3" s="5">
        <v>2</v>
      </c>
      <c r="G3" s="21">
        <v>46101</v>
      </c>
      <c r="H3" s="20" t="s">
        <v>92</v>
      </c>
      <c r="I3" s="37" t="s">
        <v>57</v>
      </c>
      <c r="J3" s="2" t="s">
        <v>60</v>
      </c>
      <c r="K3" s="2" t="s">
        <v>66</v>
      </c>
      <c r="L3" s="2">
        <v>76</v>
      </c>
      <c r="M3" s="2">
        <v>172</v>
      </c>
      <c r="N3" s="38" t="s">
        <v>233</v>
      </c>
      <c r="O3" s="2" t="s">
        <v>234</v>
      </c>
      <c r="P3" s="39" t="s">
        <v>235</v>
      </c>
      <c r="Q3" s="40" t="s">
        <v>236</v>
      </c>
      <c r="R3" s="5" t="s">
        <v>239</v>
      </c>
      <c r="S3" s="42">
        <v>1.19847142857143</v>
      </c>
      <c r="T3" s="41">
        <v>0.48498214285714297</v>
      </c>
      <c r="U3" s="2">
        <v>2.7E-2</v>
      </c>
      <c r="V3" s="2">
        <v>6.6699999999999995E-2</v>
      </c>
      <c r="W3" s="7">
        <v>2700000</v>
      </c>
      <c r="X3" s="7">
        <v>1305133.66666667</v>
      </c>
      <c r="Y3" s="7">
        <v>2610267.33333334</v>
      </c>
      <c r="Z3" s="7">
        <v>11</v>
      </c>
      <c r="AA3" s="7">
        <v>28030</v>
      </c>
      <c r="AB3" s="7">
        <v>5</v>
      </c>
      <c r="AC3" s="7">
        <v>112120</v>
      </c>
      <c r="AD3" s="7" t="s">
        <v>238</v>
      </c>
      <c r="AE3" s="7">
        <v>78560</v>
      </c>
      <c r="AF3" s="7">
        <v>2828977.33333334</v>
      </c>
      <c r="AG3" s="7">
        <v>2828977.33333334</v>
      </c>
      <c r="AH3" s="7"/>
      <c r="AI3" s="7">
        <v>34900</v>
      </c>
      <c r="AJ3" s="45">
        <v>5727754.66666668</v>
      </c>
      <c r="AK3" s="45">
        <v>5727754.66666668</v>
      </c>
      <c r="AL3" s="6" t="s">
        <v>240</v>
      </c>
      <c r="AM3" s="2" t="s">
        <v>241</v>
      </c>
      <c r="AN3" s="3"/>
      <c r="AO3" s="12" t="s">
        <v>242</v>
      </c>
      <c r="AP3" s="2" t="s">
        <v>63</v>
      </c>
      <c r="AQ3" s="2" t="s">
        <v>64</v>
      </c>
      <c r="AR3" s="2" t="s">
        <v>243</v>
      </c>
      <c r="AS3" s="7" t="s">
        <v>244</v>
      </c>
      <c r="AT3" s="7">
        <v>78</v>
      </c>
      <c r="AU3" s="7" t="s">
        <v>245</v>
      </c>
      <c r="AV3" s="2" t="s">
        <v>68</v>
      </c>
      <c r="AW3" s="2" t="s">
        <v>251</v>
      </c>
      <c r="AX3" s="2" t="s">
        <v>252</v>
      </c>
      <c r="AY3" s="2">
        <v>300000</v>
      </c>
      <c r="AZ3" s="2"/>
      <c r="BA3" s="2"/>
      <c r="BB3" s="2">
        <v>1</v>
      </c>
      <c r="BC3" s="2">
        <v>1</v>
      </c>
      <c r="BD3" s="2">
        <v>2</v>
      </c>
      <c r="BE3" s="2">
        <v>1</v>
      </c>
      <c r="BF3" s="2">
        <v>0</v>
      </c>
      <c r="BG3" s="2">
        <v>0</v>
      </c>
      <c r="BH3" s="2">
        <v>0</v>
      </c>
      <c r="BI3" s="2" t="s">
        <v>75</v>
      </c>
      <c r="BJ3" s="7" t="s">
        <v>70</v>
      </c>
      <c r="BK3" s="3" t="s">
        <v>246</v>
      </c>
      <c r="BL3" s="44">
        <v>46037</v>
      </c>
      <c r="BM3" s="2" t="s">
        <v>247</v>
      </c>
      <c r="BN3" s="2" t="s">
        <v>248</v>
      </c>
      <c r="BO3" s="2" t="s">
        <v>249</v>
      </c>
      <c r="BP3" s="2" t="s">
        <v>69</v>
      </c>
      <c r="BQ3" s="2" t="s">
        <v>75</v>
      </c>
      <c r="BR3" s="2">
        <v>104155</v>
      </c>
      <c r="BS3" s="2">
        <v>312465</v>
      </c>
      <c r="BT3" s="2" t="s">
        <v>75</v>
      </c>
      <c r="BU3" s="2" t="s">
        <v>75</v>
      </c>
      <c r="BV3" s="2" t="s">
        <v>75</v>
      </c>
      <c r="BW3" s="2" t="s">
        <v>75</v>
      </c>
      <c r="BX3" s="2" t="s">
        <v>75</v>
      </c>
      <c r="BY3" s="2" t="s">
        <v>75</v>
      </c>
      <c r="BZ3" s="2" t="s">
        <v>75</v>
      </c>
      <c r="CA3" s="2" t="s">
        <v>75</v>
      </c>
      <c r="CB3" s="2" t="s">
        <v>75</v>
      </c>
      <c r="CC3" s="2" t="s">
        <v>75</v>
      </c>
      <c r="CD3" s="43" t="s">
        <v>76</v>
      </c>
      <c r="CE3" s="44">
        <v>46145</v>
      </c>
      <c r="CF3" s="2" t="s">
        <v>247</v>
      </c>
      <c r="CG3" s="2" t="s">
        <v>248</v>
      </c>
      <c r="CH3" s="2" t="s">
        <v>250</v>
      </c>
      <c r="CI3" s="2" t="s">
        <v>75</v>
      </c>
      <c r="CJ3" s="44">
        <v>46102</v>
      </c>
      <c r="CK3" s="2">
        <v>20000</v>
      </c>
    </row>
    <row r="4" spans="1:89" x14ac:dyDescent="0.25">
      <c r="A4"/>
    </row>
    <row r="5" spans="1:89" x14ac:dyDescent="0.25">
      <c r="A5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4" sqref="E4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10" t="s">
        <v>224</v>
      </c>
      <c r="B1" s="10" t="s">
        <v>225</v>
      </c>
      <c r="C1" s="10" t="s">
        <v>226</v>
      </c>
    </row>
    <row r="2" spans="1:3" x14ac:dyDescent="0.25">
      <c r="A2" s="14" t="s">
        <v>228</v>
      </c>
      <c r="B2" s="15" t="s">
        <v>229</v>
      </c>
      <c r="C2" s="15" t="s">
        <v>227</v>
      </c>
    </row>
    <row r="3" spans="1:3" ht="30" x14ac:dyDescent="0.25">
      <c r="A3" s="9" t="s">
        <v>158</v>
      </c>
      <c r="B3" s="4" t="s">
        <v>147</v>
      </c>
      <c r="C3" s="2" t="s">
        <v>95</v>
      </c>
    </row>
    <row r="4" spans="1:3" x14ac:dyDescent="0.25">
      <c r="A4" s="9" t="s">
        <v>159</v>
      </c>
      <c r="B4" s="4" t="s">
        <v>147</v>
      </c>
      <c r="C4" s="2" t="s">
        <v>96</v>
      </c>
    </row>
    <row r="5" spans="1:3" x14ac:dyDescent="0.25">
      <c r="A5" s="9" t="s">
        <v>160</v>
      </c>
      <c r="B5" s="4" t="s">
        <v>147</v>
      </c>
      <c r="C5" s="3" t="s">
        <v>2</v>
      </c>
    </row>
    <row r="6" spans="1:3" x14ac:dyDescent="0.25">
      <c r="A6" s="9" t="s">
        <v>161</v>
      </c>
      <c r="B6" s="4" t="s">
        <v>147</v>
      </c>
      <c r="C6" s="8" t="s">
        <v>3</v>
      </c>
    </row>
    <row r="7" spans="1:3" x14ac:dyDescent="0.25">
      <c r="A7" s="9" t="s">
        <v>157</v>
      </c>
      <c r="B7" s="4" t="s">
        <v>147</v>
      </c>
      <c r="C7" s="4" t="s">
        <v>0</v>
      </c>
    </row>
    <row r="8" spans="1:3" x14ac:dyDescent="0.25">
      <c r="A8" s="9" t="s">
        <v>162</v>
      </c>
      <c r="B8" s="4" t="s">
        <v>147</v>
      </c>
      <c r="C8" s="4" t="s">
        <v>1</v>
      </c>
    </row>
    <row r="9" spans="1:3" x14ac:dyDescent="0.25">
      <c r="A9" s="9" t="s">
        <v>163</v>
      </c>
      <c r="B9" s="1" t="s">
        <v>148</v>
      </c>
      <c r="C9" s="2" t="s">
        <v>91</v>
      </c>
    </row>
    <row r="10" spans="1:3" x14ac:dyDescent="0.25">
      <c r="A10" s="9" t="s">
        <v>164</v>
      </c>
      <c r="B10" s="1" t="s">
        <v>148</v>
      </c>
      <c r="C10" s="2" t="s">
        <v>4</v>
      </c>
    </row>
    <row r="11" spans="1:3" x14ac:dyDescent="0.25">
      <c r="A11" s="9" t="s">
        <v>165</v>
      </c>
      <c r="B11" s="1" t="s">
        <v>148</v>
      </c>
      <c r="C11" s="2" t="s">
        <v>5</v>
      </c>
    </row>
    <row r="12" spans="1:3" x14ac:dyDescent="0.25">
      <c r="A12" s="9" t="s">
        <v>166</v>
      </c>
      <c r="B12" s="1" t="s">
        <v>148</v>
      </c>
      <c r="C12" s="2" t="s">
        <v>6</v>
      </c>
    </row>
    <row r="13" spans="1:3" x14ac:dyDescent="0.25">
      <c r="A13" s="9" t="s">
        <v>167</v>
      </c>
      <c r="B13" s="1" t="s">
        <v>148</v>
      </c>
      <c r="C13" s="2" t="s">
        <v>7</v>
      </c>
    </row>
    <row r="14" spans="1:3" x14ac:dyDescent="0.25">
      <c r="A14" s="9" t="s">
        <v>168</v>
      </c>
      <c r="B14" s="1" t="s">
        <v>148</v>
      </c>
      <c r="C14" s="2" t="s">
        <v>8</v>
      </c>
    </row>
    <row r="15" spans="1:3" x14ac:dyDescent="0.25">
      <c r="A15" s="9" t="s">
        <v>169</v>
      </c>
      <c r="B15" s="1" t="s">
        <v>148</v>
      </c>
      <c r="C15" s="2" t="s">
        <v>9</v>
      </c>
    </row>
    <row r="16" spans="1:3" x14ac:dyDescent="0.25">
      <c r="A16" s="9" t="s">
        <v>170</v>
      </c>
      <c r="B16" s="1" t="s">
        <v>148</v>
      </c>
      <c r="C16" s="2" t="s">
        <v>10</v>
      </c>
    </row>
    <row r="17" spans="1:3" x14ac:dyDescent="0.25">
      <c r="A17" s="9" t="s">
        <v>171</v>
      </c>
      <c r="B17" s="1" t="s">
        <v>148</v>
      </c>
      <c r="C17" s="2" t="s">
        <v>118</v>
      </c>
    </row>
    <row r="18" spans="1:3" x14ac:dyDescent="0.25">
      <c r="A18" s="9" t="s">
        <v>98</v>
      </c>
      <c r="B18" s="1" t="s">
        <v>148</v>
      </c>
      <c r="C18" s="2" t="s">
        <v>119</v>
      </c>
    </row>
    <row r="19" spans="1:3" x14ac:dyDescent="0.25">
      <c r="A19" s="9" t="s">
        <v>99</v>
      </c>
      <c r="B19" s="1" t="s">
        <v>148</v>
      </c>
      <c r="C19" s="2" t="s">
        <v>88</v>
      </c>
    </row>
    <row r="20" spans="1:3" x14ac:dyDescent="0.25">
      <c r="A20" s="9" t="s">
        <v>172</v>
      </c>
      <c r="B20" s="4" t="s">
        <v>149</v>
      </c>
      <c r="C20" s="3" t="s">
        <v>121</v>
      </c>
    </row>
    <row r="21" spans="1:3" x14ac:dyDescent="0.25">
      <c r="A21" s="9" t="s">
        <v>173</v>
      </c>
      <c r="B21" s="4" t="s">
        <v>149</v>
      </c>
      <c r="C21" s="3" t="s">
        <v>120</v>
      </c>
    </row>
    <row r="22" spans="1:3" x14ac:dyDescent="0.25">
      <c r="A22" s="9" t="s">
        <v>174</v>
      </c>
      <c r="B22" s="4" t="s">
        <v>149</v>
      </c>
      <c r="C22" s="3" t="s">
        <v>123</v>
      </c>
    </row>
    <row r="23" spans="1:3" ht="30" x14ac:dyDescent="0.25">
      <c r="A23" s="9" t="s">
        <v>175</v>
      </c>
      <c r="B23" s="4" t="s">
        <v>149</v>
      </c>
      <c r="C23" s="3" t="s">
        <v>122</v>
      </c>
    </row>
    <row r="24" spans="1:3" x14ac:dyDescent="0.25">
      <c r="A24" s="9" t="s">
        <v>176</v>
      </c>
      <c r="B24" s="4" t="s">
        <v>149</v>
      </c>
      <c r="C24" s="8" t="s">
        <v>124</v>
      </c>
    </row>
    <row r="25" spans="1:3" x14ac:dyDescent="0.25">
      <c r="A25" s="9" t="s">
        <v>177</v>
      </c>
      <c r="B25" s="4" t="s">
        <v>149</v>
      </c>
      <c r="C25" s="2" t="s">
        <v>11</v>
      </c>
    </row>
    <row r="26" spans="1:3" ht="45" x14ac:dyDescent="0.25">
      <c r="A26" s="9" t="s">
        <v>178</v>
      </c>
      <c r="B26" s="4" t="s">
        <v>149</v>
      </c>
      <c r="C26" s="3" t="s">
        <v>12</v>
      </c>
    </row>
    <row r="27" spans="1:3" x14ac:dyDescent="0.25">
      <c r="A27" s="9" t="s">
        <v>179</v>
      </c>
      <c r="B27" s="4" t="s">
        <v>149</v>
      </c>
      <c r="C27" s="2" t="s">
        <v>13</v>
      </c>
    </row>
    <row r="28" spans="1:3" x14ac:dyDescent="0.25">
      <c r="A28" s="9" t="s">
        <v>180</v>
      </c>
      <c r="B28" s="4" t="s">
        <v>149</v>
      </c>
      <c r="C28" s="3" t="s">
        <v>14</v>
      </c>
    </row>
    <row r="29" spans="1:3" x14ac:dyDescent="0.25">
      <c r="A29" s="9" t="s">
        <v>97</v>
      </c>
      <c r="B29" s="4" t="s">
        <v>149</v>
      </c>
      <c r="C29" s="3" t="s">
        <v>15</v>
      </c>
    </row>
    <row r="30" spans="1:3" x14ac:dyDescent="0.25">
      <c r="A30" s="9" t="s">
        <v>100</v>
      </c>
      <c r="B30" s="4" t="s">
        <v>149</v>
      </c>
      <c r="C30" s="3" t="s">
        <v>127</v>
      </c>
    </row>
    <row r="31" spans="1:3" ht="30" x14ac:dyDescent="0.25">
      <c r="A31" s="9" t="s">
        <v>101</v>
      </c>
      <c r="B31" s="4" t="s">
        <v>149</v>
      </c>
      <c r="C31" s="3" t="s">
        <v>16</v>
      </c>
    </row>
    <row r="32" spans="1:3" ht="45" x14ac:dyDescent="0.25">
      <c r="A32" s="9" t="s">
        <v>102</v>
      </c>
      <c r="B32" s="4" t="s">
        <v>149</v>
      </c>
      <c r="C32" s="3" t="s">
        <v>125</v>
      </c>
    </row>
    <row r="33" spans="1:3" ht="45" x14ac:dyDescent="0.25">
      <c r="A33" s="9" t="s">
        <v>103</v>
      </c>
      <c r="B33" s="4" t="s">
        <v>149</v>
      </c>
      <c r="C33" s="3" t="s">
        <v>126</v>
      </c>
    </row>
    <row r="34" spans="1:3" x14ac:dyDescent="0.25">
      <c r="A34" s="9" t="s">
        <v>104</v>
      </c>
      <c r="B34" s="4" t="s">
        <v>149</v>
      </c>
      <c r="C34" s="3" t="s">
        <v>17</v>
      </c>
    </row>
    <row r="35" spans="1:3" x14ac:dyDescent="0.25">
      <c r="A35" s="9" t="s">
        <v>105</v>
      </c>
      <c r="B35" s="4" t="s">
        <v>149</v>
      </c>
      <c r="C35" s="3" t="s">
        <v>90</v>
      </c>
    </row>
    <row r="36" spans="1:3" ht="45" x14ac:dyDescent="0.25">
      <c r="A36" s="9" t="s">
        <v>106</v>
      </c>
      <c r="B36" s="4" t="s">
        <v>149</v>
      </c>
      <c r="C36" s="3" t="s">
        <v>18</v>
      </c>
    </row>
    <row r="37" spans="1:3" x14ac:dyDescent="0.25">
      <c r="A37" s="9" t="s">
        <v>107</v>
      </c>
      <c r="B37" s="4" t="s">
        <v>149</v>
      </c>
      <c r="C37" s="3" t="s">
        <v>19</v>
      </c>
    </row>
    <row r="38" spans="1:3" ht="45" x14ac:dyDescent="0.25">
      <c r="A38" s="9" t="s">
        <v>108</v>
      </c>
      <c r="B38" s="4" t="s">
        <v>149</v>
      </c>
      <c r="C38" s="3" t="s">
        <v>128</v>
      </c>
    </row>
    <row r="39" spans="1:3" x14ac:dyDescent="0.25">
      <c r="A39" s="9" t="s">
        <v>109</v>
      </c>
      <c r="B39" s="4" t="s">
        <v>149</v>
      </c>
      <c r="C39" s="3" t="s">
        <v>129</v>
      </c>
    </row>
    <row r="40" spans="1:3" x14ac:dyDescent="0.25">
      <c r="A40" s="9" t="s">
        <v>110</v>
      </c>
      <c r="B40" s="4" t="s">
        <v>149</v>
      </c>
      <c r="C40" s="2" t="s">
        <v>130</v>
      </c>
    </row>
    <row r="41" spans="1:3" x14ac:dyDescent="0.25">
      <c r="A41" s="9" t="s">
        <v>111</v>
      </c>
      <c r="B41" s="4" t="s">
        <v>149</v>
      </c>
      <c r="C41" s="2" t="s">
        <v>119</v>
      </c>
    </row>
    <row r="42" spans="1:3" x14ac:dyDescent="0.25">
      <c r="A42" s="9" t="s">
        <v>181</v>
      </c>
      <c r="B42" s="1" t="s">
        <v>150</v>
      </c>
      <c r="C42" s="3" t="s">
        <v>131</v>
      </c>
    </row>
    <row r="43" spans="1:3" x14ac:dyDescent="0.25">
      <c r="A43" s="9" t="s">
        <v>182</v>
      </c>
      <c r="B43" s="1" t="s">
        <v>150</v>
      </c>
      <c r="C43" s="3" t="s">
        <v>132</v>
      </c>
    </row>
    <row r="44" spans="1:3" ht="30" x14ac:dyDescent="0.25">
      <c r="A44" s="9" t="s">
        <v>183</v>
      </c>
      <c r="B44" s="1" t="s">
        <v>150</v>
      </c>
      <c r="C44" s="3" t="s">
        <v>133</v>
      </c>
    </row>
    <row r="45" spans="1:3" x14ac:dyDescent="0.25">
      <c r="A45" s="9" t="s">
        <v>184</v>
      </c>
      <c r="B45" s="1" t="s">
        <v>151</v>
      </c>
      <c r="C45" s="2" t="s">
        <v>134</v>
      </c>
    </row>
    <row r="46" spans="1:3" x14ac:dyDescent="0.25">
      <c r="A46" s="9" t="s">
        <v>185</v>
      </c>
      <c r="B46" s="1" t="s">
        <v>151</v>
      </c>
      <c r="C46" s="2" t="s">
        <v>20</v>
      </c>
    </row>
    <row r="47" spans="1:3" x14ac:dyDescent="0.25">
      <c r="A47" s="9" t="s">
        <v>186</v>
      </c>
      <c r="B47" s="1" t="s">
        <v>151</v>
      </c>
      <c r="C47" s="2" t="s">
        <v>21</v>
      </c>
    </row>
    <row r="48" spans="1:3" x14ac:dyDescent="0.25">
      <c r="A48" s="9" t="s">
        <v>187</v>
      </c>
      <c r="B48" s="1" t="s">
        <v>151</v>
      </c>
      <c r="C48" s="2" t="s">
        <v>22</v>
      </c>
    </row>
    <row r="49" spans="1:3" x14ac:dyDescent="0.25">
      <c r="A49" s="9" t="s">
        <v>188</v>
      </c>
      <c r="B49" s="1" t="s">
        <v>151</v>
      </c>
      <c r="C49" s="3" t="s">
        <v>23</v>
      </c>
    </row>
    <row r="50" spans="1:3" x14ac:dyDescent="0.25">
      <c r="A50" s="9" t="s">
        <v>189</v>
      </c>
      <c r="B50" s="1" t="s">
        <v>151</v>
      </c>
      <c r="C50" s="2" t="s">
        <v>24</v>
      </c>
    </row>
    <row r="51" spans="1:3" x14ac:dyDescent="0.25">
      <c r="A51" s="9" t="s">
        <v>190</v>
      </c>
      <c r="B51" s="1" t="s">
        <v>151</v>
      </c>
      <c r="C51" s="2" t="s">
        <v>25</v>
      </c>
    </row>
    <row r="52" spans="1:3" x14ac:dyDescent="0.25">
      <c r="A52" s="9" t="s">
        <v>191</v>
      </c>
      <c r="B52" s="1" t="s">
        <v>151</v>
      </c>
      <c r="C52" s="3" t="s">
        <v>26</v>
      </c>
    </row>
    <row r="53" spans="1:3" x14ac:dyDescent="0.25">
      <c r="A53" s="9" t="s">
        <v>192</v>
      </c>
      <c r="B53" s="1" t="s">
        <v>151</v>
      </c>
      <c r="C53" s="3" t="s">
        <v>146</v>
      </c>
    </row>
    <row r="54" spans="1:3" ht="30" x14ac:dyDescent="0.25">
      <c r="A54" s="9" t="s">
        <v>112</v>
      </c>
      <c r="B54" s="1" t="s">
        <v>151</v>
      </c>
      <c r="C54" s="3" t="s">
        <v>145</v>
      </c>
    </row>
    <row r="55" spans="1:3" ht="30" x14ac:dyDescent="0.25">
      <c r="A55" s="9" t="s">
        <v>193</v>
      </c>
      <c r="B55" s="1" t="s">
        <v>152</v>
      </c>
      <c r="C55" s="3" t="s">
        <v>144</v>
      </c>
    </row>
    <row r="56" spans="1:3" ht="30" x14ac:dyDescent="0.25">
      <c r="A56" s="9" t="s">
        <v>194</v>
      </c>
      <c r="B56" s="1" t="s">
        <v>152</v>
      </c>
      <c r="C56" s="3" t="s">
        <v>27</v>
      </c>
    </row>
    <row r="57" spans="1:3" ht="30" x14ac:dyDescent="0.25">
      <c r="A57" s="9" t="s">
        <v>195</v>
      </c>
      <c r="B57" s="1" t="s">
        <v>152</v>
      </c>
      <c r="C57" s="3" t="s">
        <v>28</v>
      </c>
    </row>
    <row r="58" spans="1:3" ht="30" x14ac:dyDescent="0.25">
      <c r="A58" s="9" t="s">
        <v>196</v>
      </c>
      <c r="B58" s="1" t="s">
        <v>152</v>
      </c>
      <c r="C58" s="3" t="s">
        <v>29</v>
      </c>
    </row>
    <row r="59" spans="1:3" ht="30" x14ac:dyDescent="0.25">
      <c r="A59" s="9" t="s">
        <v>197</v>
      </c>
      <c r="B59" s="1" t="s">
        <v>152</v>
      </c>
      <c r="C59" s="3" t="s">
        <v>30</v>
      </c>
    </row>
    <row r="60" spans="1:3" ht="30" x14ac:dyDescent="0.25">
      <c r="A60" s="9" t="s">
        <v>198</v>
      </c>
      <c r="B60" s="1" t="s">
        <v>152</v>
      </c>
      <c r="C60" s="3" t="s">
        <v>31</v>
      </c>
    </row>
    <row r="61" spans="1:3" ht="30" x14ac:dyDescent="0.25">
      <c r="A61" s="9" t="s">
        <v>199</v>
      </c>
      <c r="B61" s="1" t="s">
        <v>152</v>
      </c>
      <c r="C61" s="3" t="s">
        <v>32</v>
      </c>
    </row>
    <row r="62" spans="1:3" ht="30" x14ac:dyDescent="0.25">
      <c r="A62" s="9" t="s">
        <v>200</v>
      </c>
      <c r="B62" s="1" t="s">
        <v>152</v>
      </c>
      <c r="C62" s="3" t="s">
        <v>143</v>
      </c>
    </row>
    <row r="63" spans="1:3" ht="30" x14ac:dyDescent="0.25">
      <c r="A63" s="9" t="s">
        <v>201</v>
      </c>
      <c r="B63" s="1" t="s">
        <v>152</v>
      </c>
      <c r="C63" s="3" t="s">
        <v>142</v>
      </c>
    </row>
    <row r="64" spans="1:3" x14ac:dyDescent="0.25">
      <c r="A64" s="9" t="s">
        <v>202</v>
      </c>
      <c r="B64" s="1" t="s">
        <v>153</v>
      </c>
      <c r="C64" s="3" t="s">
        <v>141</v>
      </c>
    </row>
    <row r="65" spans="1:3" x14ac:dyDescent="0.25">
      <c r="A65" s="9" t="s">
        <v>203</v>
      </c>
      <c r="B65" s="1" t="s">
        <v>153</v>
      </c>
      <c r="C65" s="3" t="s">
        <v>33</v>
      </c>
    </row>
    <row r="66" spans="1:3" x14ac:dyDescent="0.25">
      <c r="A66" s="9" t="s">
        <v>204</v>
      </c>
      <c r="B66" s="1" t="s">
        <v>153</v>
      </c>
      <c r="C66" s="3" t="s">
        <v>34</v>
      </c>
    </row>
    <row r="67" spans="1:3" x14ac:dyDescent="0.25">
      <c r="A67" s="9" t="s">
        <v>205</v>
      </c>
      <c r="B67" s="1" t="s">
        <v>153</v>
      </c>
      <c r="C67" s="3" t="s">
        <v>35</v>
      </c>
    </row>
    <row r="68" spans="1:3" x14ac:dyDescent="0.25">
      <c r="A68" s="9" t="s">
        <v>206</v>
      </c>
      <c r="B68" s="1" t="s">
        <v>153</v>
      </c>
      <c r="C68" s="3" t="s">
        <v>140</v>
      </c>
    </row>
    <row r="69" spans="1:3" ht="30" x14ac:dyDescent="0.25">
      <c r="A69" s="9" t="s">
        <v>207</v>
      </c>
      <c r="B69" s="4" t="s">
        <v>156</v>
      </c>
      <c r="C69" s="3" t="s">
        <v>36</v>
      </c>
    </row>
    <row r="70" spans="1:3" ht="30" x14ac:dyDescent="0.25">
      <c r="A70" s="9" t="s">
        <v>208</v>
      </c>
      <c r="B70" s="4" t="s">
        <v>156</v>
      </c>
      <c r="C70" s="3" t="s">
        <v>37</v>
      </c>
    </row>
    <row r="71" spans="1:3" ht="30" x14ac:dyDescent="0.25">
      <c r="A71" s="9" t="s">
        <v>209</v>
      </c>
      <c r="B71" s="4" t="s">
        <v>156</v>
      </c>
      <c r="C71" s="3" t="s">
        <v>38</v>
      </c>
    </row>
    <row r="72" spans="1:3" ht="45" x14ac:dyDescent="0.25">
      <c r="A72" s="9" t="s">
        <v>210</v>
      </c>
      <c r="B72" s="4" t="s">
        <v>156</v>
      </c>
      <c r="C72" s="3" t="s">
        <v>39</v>
      </c>
    </row>
    <row r="73" spans="1:3" ht="45" x14ac:dyDescent="0.25">
      <c r="A73" s="9" t="s">
        <v>211</v>
      </c>
      <c r="B73" s="4" t="s">
        <v>156</v>
      </c>
      <c r="C73" s="3" t="s">
        <v>40</v>
      </c>
    </row>
    <row r="74" spans="1:3" ht="45" x14ac:dyDescent="0.25">
      <c r="A74" s="9" t="s">
        <v>212</v>
      </c>
      <c r="B74" s="4" t="s">
        <v>156</v>
      </c>
      <c r="C74" s="3" t="s">
        <v>41</v>
      </c>
    </row>
    <row r="75" spans="1:3" ht="30" x14ac:dyDescent="0.25">
      <c r="A75" s="9" t="s">
        <v>213</v>
      </c>
      <c r="B75" s="4" t="s">
        <v>156</v>
      </c>
      <c r="C75" s="3" t="s">
        <v>42</v>
      </c>
    </row>
    <row r="76" spans="1:3" ht="45" x14ac:dyDescent="0.25">
      <c r="A76" s="9" t="s">
        <v>214</v>
      </c>
      <c r="B76" s="4" t="s">
        <v>156</v>
      </c>
      <c r="C76" s="3" t="s">
        <v>43</v>
      </c>
    </row>
    <row r="77" spans="1:3" ht="30" x14ac:dyDescent="0.25">
      <c r="A77" s="9" t="s">
        <v>215</v>
      </c>
      <c r="B77" s="4" t="s">
        <v>156</v>
      </c>
      <c r="C77" s="3" t="s">
        <v>44</v>
      </c>
    </row>
    <row r="78" spans="1:3" ht="30" x14ac:dyDescent="0.25">
      <c r="A78" s="9" t="s">
        <v>113</v>
      </c>
      <c r="B78" s="4" t="s">
        <v>156</v>
      </c>
      <c r="C78" s="3" t="s">
        <v>45</v>
      </c>
    </row>
    <row r="79" spans="1:3" ht="30" x14ac:dyDescent="0.25">
      <c r="A79" s="9" t="s">
        <v>114</v>
      </c>
      <c r="B79" s="4" t="s">
        <v>156</v>
      </c>
      <c r="C79" s="3" t="s">
        <v>46</v>
      </c>
    </row>
    <row r="80" spans="1:3" ht="45" x14ac:dyDescent="0.25">
      <c r="A80" s="9" t="s">
        <v>115</v>
      </c>
      <c r="B80" s="4" t="s">
        <v>156</v>
      </c>
      <c r="C80" s="3" t="s">
        <v>47</v>
      </c>
    </row>
    <row r="81" spans="1:3" ht="30" x14ac:dyDescent="0.25">
      <c r="A81" s="9" t="s">
        <v>116</v>
      </c>
      <c r="B81" s="4" t="s">
        <v>156</v>
      </c>
      <c r="C81" s="3" t="s">
        <v>48</v>
      </c>
    </row>
    <row r="82" spans="1:3" ht="30" x14ac:dyDescent="0.25">
      <c r="A82" s="9" t="s">
        <v>117</v>
      </c>
      <c r="B82" s="4" t="s">
        <v>156</v>
      </c>
      <c r="C82" s="3" t="s">
        <v>49</v>
      </c>
    </row>
    <row r="83" spans="1:3" x14ac:dyDescent="0.25">
      <c r="A83" s="9" t="s">
        <v>216</v>
      </c>
      <c r="B83" s="1" t="s">
        <v>154</v>
      </c>
      <c r="C83" s="3" t="s">
        <v>139</v>
      </c>
    </row>
    <row r="84" spans="1:3" x14ac:dyDescent="0.25">
      <c r="A84" s="9" t="s">
        <v>217</v>
      </c>
      <c r="B84" s="1" t="s">
        <v>154</v>
      </c>
      <c r="C84" s="3" t="s">
        <v>50</v>
      </c>
    </row>
    <row r="85" spans="1:3" x14ac:dyDescent="0.25">
      <c r="A85" s="9" t="s">
        <v>218</v>
      </c>
      <c r="B85" s="1" t="s">
        <v>154</v>
      </c>
      <c r="C85" s="3" t="s">
        <v>51</v>
      </c>
    </row>
    <row r="86" spans="1:3" x14ac:dyDescent="0.25">
      <c r="A86" s="9" t="s">
        <v>219</v>
      </c>
      <c r="B86" s="1" t="s">
        <v>154</v>
      </c>
      <c r="C86" s="3" t="s">
        <v>52</v>
      </c>
    </row>
    <row r="87" spans="1:3" x14ac:dyDescent="0.25">
      <c r="A87" s="9" t="s">
        <v>220</v>
      </c>
      <c r="B87" s="1" t="s">
        <v>154</v>
      </c>
      <c r="C87" s="3" t="s">
        <v>138</v>
      </c>
    </row>
    <row r="88" spans="1:3" x14ac:dyDescent="0.25">
      <c r="A88" s="9" t="s">
        <v>221</v>
      </c>
      <c r="B88" s="1" t="s">
        <v>155</v>
      </c>
      <c r="C88" s="3" t="s">
        <v>136</v>
      </c>
    </row>
    <row r="89" spans="1:3" x14ac:dyDescent="0.25">
      <c r="A89" s="9" t="s">
        <v>222</v>
      </c>
      <c r="B89" s="1" t="s">
        <v>155</v>
      </c>
      <c r="C89" s="3" t="s">
        <v>135</v>
      </c>
    </row>
    <row r="90" spans="1:3" x14ac:dyDescent="0.25">
      <c r="A90" s="9" t="s">
        <v>223</v>
      </c>
      <c r="B90" s="1" t="s">
        <v>155</v>
      </c>
      <c r="C90" s="3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2026-04-15T10:05:29Z</dcterms:modified>
  <cp:category/>
  <cp:contentStatus/>
</cp:coreProperties>
</file>