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6" windowHeight="11040"/>
  </bookViews>
  <sheets>
    <sheet name="Plot" sheetId="1" r:id="rId1"/>
  </sheets>
  <definedNames>
    <definedName name="_xlnm._FilterDatabase" localSheetId="0" hidden="1">Plot!$A$1:$AF$918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2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3"/>
  <c r="M2"/>
</calcChain>
</file>

<file path=xl/sharedStrings.xml><?xml version="1.0" encoding="utf-8"?>
<sst xmlns="http://schemas.openxmlformats.org/spreadsheetml/2006/main" count="470" uniqueCount="68">
  <si>
    <t>CD10</t>
  </si>
  <si>
    <t>CD11</t>
  </si>
  <si>
    <t>CD12</t>
  </si>
  <si>
    <t>CD13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</si>
  <si>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</si>
  <si>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</si>
  <si>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</si>
  <si>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</si>
  <si>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</si>
  <si>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</si>
  <si>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</si>
  <si>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</si>
  <si>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</si>
  <si>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</si>
  <si>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</si>
  <si>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</si>
  <si>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</si>
  <si>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</si>
  <si>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</si>
  <si>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</si>
  <si>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</si>
  <si>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</si>
  <si>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</si>
  <si>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</si>
  <si>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</si>
  <si>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</si>
  <si>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CR01</t>
  </si>
  <si>
    <t>CR02</t>
  </si>
  <si>
    <t>CR03</t>
  </si>
  <si>
    <t>CR04</t>
  </si>
  <si>
    <t>CR05</t>
  </si>
  <si>
    <t>JHARSUGUDA</t>
  </si>
  <si>
    <t>TALMAL</t>
  </si>
  <si>
    <t>DURLAGA</t>
  </si>
  <si>
    <t>958/2898</t>
  </si>
  <si>
    <t>1389/2564</t>
  </si>
  <si>
    <t>1368/2610</t>
  </si>
  <si>
    <t>987/2607</t>
  </si>
  <si>
    <t>976/2603</t>
  </si>
  <si>
    <t>1308/2562</t>
  </si>
  <si>
    <t>1540/2566</t>
  </si>
  <si>
    <t>1646/2573</t>
  </si>
  <si>
    <t>1659/2574</t>
  </si>
  <si>
    <t>1552/2583</t>
  </si>
  <si>
    <t>1553/2584</t>
  </si>
  <si>
    <t>1378/2948</t>
  </si>
  <si>
    <t>1610/2927</t>
  </si>
  <si>
    <t>1602/2568</t>
  </si>
  <si>
    <t>950/2606</t>
  </si>
  <si>
    <t>1627/2572</t>
  </si>
  <si>
    <t>268/2485</t>
  </si>
  <si>
    <t>1626/3237</t>
  </si>
  <si>
    <t>274/2925</t>
  </si>
  <si>
    <t>Rakhita</t>
  </si>
  <si>
    <t>Sarba Sadharan</t>
  </si>
  <si>
    <t>Abada Jogya Anabadi</t>
  </si>
  <si>
    <t>Gochar</t>
  </si>
  <si>
    <t>Nala</t>
  </si>
  <si>
    <t>Munda</t>
  </si>
  <si>
    <t>Adi</t>
  </si>
  <si>
    <t>Sarba Sadharan Jogya</t>
  </si>
  <si>
    <t>Rasta</t>
  </si>
  <si>
    <t>Dharsa</t>
  </si>
  <si>
    <t>Bahal Sadharan</t>
  </si>
  <si>
    <t>Berna Sadharan</t>
  </si>
  <si>
    <t>Mala Sadharan</t>
  </si>
  <si>
    <t>Ata Sadharan</t>
  </si>
  <si>
    <t>Patita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</si>
</sst>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164" fontId="0" fillId="0" borderId="1" xfId="0" applyNumberFormat="1" applyBorder="1" applyAlignment="1">
      <alignment horizontal="right" vertical="center" wrapText="1"/>
    </xf>
    <xf numFmtId="164" fontId="0" fillId="0" borderId="5" xfId="0" applyNumberFormat="1" applyBorder="1" applyAlignment="1">
      <alignment horizontal="right" vertical="center" wrapText="1"/>
    </xf>
    <xf numFmtId="164" fontId="0" fillId="0" borderId="1" xfId="0" applyNumberFormat="1" applyBorder="1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96"/>
  <sheetViews>
    <sheetView tabSelected="1" workbookViewId="0">
      <selection activeCell="A2" sqref="A2"/>
    </sheetView>
  </sheetViews>
  <sheetFormatPr defaultRowHeight="14.4"/>
  <cols>
    <col min="2" max="2" width="12.88671875" bestFit="1" customWidth="1"/>
    <col min="3" max="3" width="11.6640625" bestFit="1" customWidth="1"/>
    <col min="4" max="4" width="12.88671875" bestFit="1" customWidth="1"/>
    <col min="5" max="5" width="11.6640625" bestFit="1" customWidth="1"/>
    <col min="6" max="6" width="11.6640625" style="2" bestFit="1" customWidth="1"/>
    <col min="7" max="7" width="11.6640625" bestFit="1" customWidth="1"/>
    <col min="8" max="8" width="17.44140625" style="2" bestFit="1" customWidth="1"/>
    <col min="9" max="9" width="27.33203125" bestFit="1" customWidth="1"/>
    <col min="10" max="10" width="11.6640625" bestFit="1" customWidth="1"/>
    <col min="11" max="14" width="16.44140625" bestFit="1" customWidth="1"/>
    <col min="15" max="15" width="14.44140625" bestFit="1" customWidth="1"/>
    <col min="16" max="16" width="13.88671875" bestFit="1" customWidth="1"/>
    <col min="17" max="17" width="12.33203125" bestFit="1" customWidth="1"/>
    <col min="18" max="18" width="11.6640625" bestFit="1" customWidth="1"/>
    <col min="19" max="19" width="12.109375" bestFit="1" customWidth="1"/>
    <col min="20" max="20" width="12" bestFit="1" customWidth="1"/>
    <col min="21" max="25" width="11.6640625" bestFit="1" customWidth="1"/>
    <col min="26" max="26" width="14.109375" bestFit="1" customWidth="1"/>
    <col min="27" max="27" width="12.5546875" bestFit="1" customWidth="1"/>
    <col min="28" max="28" width="12.44140625" bestFit="1" customWidth="1"/>
    <col min="29" max="29" width="12.109375" bestFit="1" customWidth="1"/>
    <col min="30" max="32" width="11.6640625" bestFit="1" customWidth="1"/>
  </cols>
  <sheetData>
    <row r="1" spans="1:32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0</v>
      </c>
      <c r="Y1" s="1" t="s">
        <v>1</v>
      </c>
      <c r="Z1" s="1" t="s">
        <v>2</v>
      </c>
      <c r="AA1" s="1" t="s">
        <v>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.6">
      <c r="A2" s="1"/>
      <c r="B2" s="1" t="s">
        <v>31</v>
      </c>
      <c r="C2" s="1" t="s">
        <v>32</v>
      </c>
      <c r="D2" s="1" t="s">
        <v>31</v>
      </c>
      <c r="E2" s="1">
        <v>7</v>
      </c>
      <c r="F2" s="1" t="s">
        <v>33</v>
      </c>
      <c r="G2" s="1">
        <v>240</v>
      </c>
      <c r="H2" s="4" t="s">
        <v>56</v>
      </c>
      <c r="I2" s="3" t="s">
        <v>53</v>
      </c>
      <c r="J2" s="4">
        <v>975</v>
      </c>
      <c r="K2" s="5">
        <v>8.85</v>
      </c>
      <c r="L2" s="5">
        <v>4.17</v>
      </c>
      <c r="M2" s="14">
        <f>K2/2.471</f>
        <v>3.58154593282072</v>
      </c>
      <c r="N2" s="14">
        <f>L2/2.471</f>
        <v>1.687575880210441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6">
      <c r="A3" s="1"/>
      <c r="B3" s="1" t="s">
        <v>31</v>
      </c>
      <c r="C3" s="1" t="s">
        <v>32</v>
      </c>
      <c r="D3" s="1" t="s">
        <v>31</v>
      </c>
      <c r="E3" s="1">
        <v>7</v>
      </c>
      <c r="F3" s="1" t="s">
        <v>33</v>
      </c>
      <c r="G3" s="1">
        <v>240</v>
      </c>
      <c r="H3" s="4" t="s">
        <v>57</v>
      </c>
      <c r="I3" s="3" t="s">
        <v>53</v>
      </c>
      <c r="J3" s="4">
        <v>988</v>
      </c>
      <c r="K3" s="5">
        <v>0.64</v>
      </c>
      <c r="L3" s="5">
        <v>0.16</v>
      </c>
      <c r="M3" s="14">
        <f>K3/2.471</f>
        <v>0.25900445163901253</v>
      </c>
      <c r="N3" s="14">
        <f t="shared" ref="N3:N66" si="0">L3/2.471</f>
        <v>6.4751112909753133E-2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6">
      <c r="A4" s="1"/>
      <c r="B4" s="1" t="s">
        <v>31</v>
      </c>
      <c r="C4" s="1" t="s">
        <v>32</v>
      </c>
      <c r="D4" s="1" t="s">
        <v>31</v>
      </c>
      <c r="E4" s="1">
        <v>7</v>
      </c>
      <c r="F4" s="1" t="s">
        <v>33</v>
      </c>
      <c r="G4" s="1">
        <v>240</v>
      </c>
      <c r="H4" s="4" t="s">
        <v>56</v>
      </c>
      <c r="I4" s="3" t="s">
        <v>53</v>
      </c>
      <c r="J4" s="4">
        <v>1152</v>
      </c>
      <c r="K4" s="5">
        <v>3.99</v>
      </c>
      <c r="L4" s="5">
        <v>0.05</v>
      </c>
      <c r="M4" s="14">
        <f t="shared" ref="M4:M67" si="1">K4/2.471</f>
        <v>1.6147308781869689</v>
      </c>
      <c r="N4" s="14">
        <f t="shared" si="0"/>
        <v>2.0234722784297856E-2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.6">
      <c r="A5" s="1"/>
      <c r="B5" s="1" t="s">
        <v>31</v>
      </c>
      <c r="C5" s="1" t="s">
        <v>32</v>
      </c>
      <c r="D5" s="1" t="s">
        <v>31</v>
      </c>
      <c r="E5" s="1">
        <v>7</v>
      </c>
      <c r="F5" s="1" t="s">
        <v>33</v>
      </c>
      <c r="G5" s="1">
        <v>240</v>
      </c>
      <c r="H5" s="4" t="s">
        <v>56</v>
      </c>
      <c r="I5" s="3" t="s">
        <v>53</v>
      </c>
      <c r="J5" s="4">
        <v>1208</v>
      </c>
      <c r="K5" s="5">
        <v>1.05</v>
      </c>
      <c r="L5" s="5">
        <v>0.93</v>
      </c>
      <c r="M5" s="14">
        <f t="shared" si="1"/>
        <v>0.42492917847025496</v>
      </c>
      <c r="N5" s="14">
        <f t="shared" si="0"/>
        <v>0.37636584378794014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6">
      <c r="A6" s="1"/>
      <c r="B6" s="1" t="s">
        <v>31</v>
      </c>
      <c r="C6" s="1" t="s">
        <v>32</v>
      </c>
      <c r="D6" s="1" t="s">
        <v>31</v>
      </c>
      <c r="E6" s="1">
        <v>7</v>
      </c>
      <c r="F6" s="1" t="s">
        <v>33</v>
      </c>
      <c r="G6" s="1">
        <v>240</v>
      </c>
      <c r="H6" s="4" t="s">
        <v>58</v>
      </c>
      <c r="I6" s="3" t="s">
        <v>53</v>
      </c>
      <c r="J6" s="4">
        <v>1387</v>
      </c>
      <c r="K6" s="5">
        <v>1.79</v>
      </c>
      <c r="L6" s="5">
        <v>1.38</v>
      </c>
      <c r="M6" s="14">
        <f t="shared" si="1"/>
        <v>0.72440307567786322</v>
      </c>
      <c r="N6" s="14">
        <f t="shared" si="0"/>
        <v>0.55847834884662073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6">
      <c r="A7" s="1"/>
      <c r="B7" s="1" t="s">
        <v>31</v>
      </c>
      <c r="C7" s="1" t="s">
        <v>32</v>
      </c>
      <c r="D7" s="1" t="s">
        <v>31</v>
      </c>
      <c r="E7" s="1">
        <v>7</v>
      </c>
      <c r="F7" s="1" t="s">
        <v>33</v>
      </c>
      <c r="G7" s="1">
        <v>240</v>
      </c>
      <c r="H7" s="4" t="s">
        <v>58</v>
      </c>
      <c r="I7" s="3" t="s">
        <v>53</v>
      </c>
      <c r="J7" s="4">
        <v>1388</v>
      </c>
      <c r="K7" s="5">
        <v>0.27</v>
      </c>
      <c r="L7" s="5">
        <v>0.19</v>
      </c>
      <c r="M7" s="14">
        <f t="shared" si="1"/>
        <v>0.10926750303520842</v>
      </c>
      <c r="N7" s="14">
        <f t="shared" si="0"/>
        <v>7.6891946580331841E-2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6">
      <c r="A8" s="1"/>
      <c r="B8" s="1" t="s">
        <v>31</v>
      </c>
      <c r="C8" s="1" t="s">
        <v>32</v>
      </c>
      <c r="D8" s="1" t="s">
        <v>31</v>
      </c>
      <c r="E8" s="1">
        <v>7</v>
      </c>
      <c r="F8" s="1" t="s">
        <v>33</v>
      </c>
      <c r="G8" s="1">
        <v>240</v>
      </c>
      <c r="H8" s="4" t="s">
        <v>56</v>
      </c>
      <c r="I8" s="3" t="s">
        <v>53</v>
      </c>
      <c r="J8" s="4">
        <v>1528</v>
      </c>
      <c r="K8" s="5">
        <v>3.63</v>
      </c>
      <c r="L8" s="5">
        <v>0.75</v>
      </c>
      <c r="M8" s="14">
        <f t="shared" si="1"/>
        <v>1.4690408741400243</v>
      </c>
      <c r="N8" s="14">
        <f t="shared" si="0"/>
        <v>0.30352084176446781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.6">
      <c r="A9" s="1"/>
      <c r="B9" s="1" t="s">
        <v>31</v>
      </c>
      <c r="C9" s="1" t="s">
        <v>32</v>
      </c>
      <c r="D9" s="1" t="s">
        <v>31</v>
      </c>
      <c r="E9" s="1">
        <v>7</v>
      </c>
      <c r="F9" s="1" t="s">
        <v>33</v>
      </c>
      <c r="G9" s="1">
        <v>240</v>
      </c>
      <c r="H9" s="4" t="s">
        <v>56</v>
      </c>
      <c r="I9" s="3" t="s">
        <v>53</v>
      </c>
      <c r="J9" s="4">
        <v>1529</v>
      </c>
      <c r="K9" s="5">
        <v>0.49</v>
      </c>
      <c r="L9" s="5">
        <v>0.18</v>
      </c>
      <c r="M9" s="14">
        <f t="shared" si="1"/>
        <v>0.19830028328611898</v>
      </c>
      <c r="N9" s="14">
        <f t="shared" si="0"/>
        <v>7.2845002023472272E-2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6">
      <c r="A10" s="1"/>
      <c r="B10" s="1" t="s">
        <v>31</v>
      </c>
      <c r="C10" s="1" t="s">
        <v>32</v>
      </c>
      <c r="D10" s="1" t="s">
        <v>31</v>
      </c>
      <c r="E10" s="1">
        <v>7</v>
      </c>
      <c r="F10" s="1" t="s">
        <v>33</v>
      </c>
      <c r="G10" s="1">
        <v>240</v>
      </c>
      <c r="H10" s="4" t="s">
        <v>59</v>
      </c>
      <c r="I10" s="3" t="s">
        <v>53</v>
      </c>
      <c r="J10" s="4">
        <v>1537</v>
      </c>
      <c r="K10" s="5">
        <v>0.28999999999999998</v>
      </c>
      <c r="L10" s="5">
        <v>0.28999999999999998</v>
      </c>
      <c r="M10" s="14">
        <f t="shared" si="1"/>
        <v>0.11736139214892755</v>
      </c>
      <c r="N10" s="14">
        <f t="shared" si="0"/>
        <v>0.11736139214892755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6">
      <c r="A11" s="1"/>
      <c r="B11" s="1" t="s">
        <v>31</v>
      </c>
      <c r="C11" s="1" t="s">
        <v>32</v>
      </c>
      <c r="D11" s="1" t="s">
        <v>31</v>
      </c>
      <c r="E11" s="1">
        <v>7</v>
      </c>
      <c r="F11" s="1" t="s">
        <v>33</v>
      </c>
      <c r="G11" s="1">
        <v>240</v>
      </c>
      <c r="H11" s="4" t="s">
        <v>57</v>
      </c>
      <c r="I11" s="3" t="s">
        <v>53</v>
      </c>
      <c r="J11" s="4">
        <v>1614</v>
      </c>
      <c r="K11" s="5">
        <v>0.14000000000000001</v>
      </c>
      <c r="L11" s="5">
        <v>0.14000000000000001</v>
      </c>
      <c r="M11" s="14">
        <f t="shared" si="1"/>
        <v>5.6657223796033995E-2</v>
      </c>
      <c r="N11" s="14">
        <f t="shared" si="0"/>
        <v>5.6657223796033995E-2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5.6">
      <c r="A12" s="1"/>
      <c r="B12" s="1" t="s">
        <v>31</v>
      </c>
      <c r="C12" s="1" t="s">
        <v>32</v>
      </c>
      <c r="D12" s="1" t="s">
        <v>31</v>
      </c>
      <c r="E12" s="1">
        <v>7</v>
      </c>
      <c r="F12" s="1" t="s">
        <v>33</v>
      </c>
      <c r="G12" s="1">
        <v>240</v>
      </c>
      <c r="H12" s="4" t="s">
        <v>56</v>
      </c>
      <c r="I12" s="3" t="s">
        <v>53</v>
      </c>
      <c r="J12" s="4">
        <v>1636</v>
      </c>
      <c r="K12" s="5">
        <v>0.95</v>
      </c>
      <c r="L12" s="5">
        <v>0.95</v>
      </c>
      <c r="M12" s="14">
        <f t="shared" si="1"/>
        <v>0.38445973290165919</v>
      </c>
      <c r="N12" s="14">
        <f t="shared" si="0"/>
        <v>0.38445973290165919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5.6">
      <c r="A13" s="1"/>
      <c r="B13" s="1" t="s">
        <v>31</v>
      </c>
      <c r="C13" s="1" t="s">
        <v>32</v>
      </c>
      <c r="D13" s="1" t="s">
        <v>31</v>
      </c>
      <c r="E13" s="1">
        <v>7</v>
      </c>
      <c r="F13" s="1" t="s">
        <v>33</v>
      </c>
      <c r="G13" s="1">
        <v>240</v>
      </c>
      <c r="H13" s="4" t="s">
        <v>56</v>
      </c>
      <c r="I13" s="3" t="s">
        <v>53</v>
      </c>
      <c r="J13" s="4">
        <v>1644</v>
      </c>
      <c r="K13" s="5">
        <v>0.42</v>
      </c>
      <c r="L13" s="5">
        <v>0.42</v>
      </c>
      <c r="M13" s="14">
        <f t="shared" si="1"/>
        <v>0.16997167138810196</v>
      </c>
      <c r="N13" s="14">
        <f t="shared" si="0"/>
        <v>0.16997167138810196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6">
      <c r="A14" s="1"/>
      <c r="B14" s="1" t="s">
        <v>31</v>
      </c>
      <c r="C14" s="1" t="s">
        <v>32</v>
      </c>
      <c r="D14" s="1" t="s">
        <v>31</v>
      </c>
      <c r="E14" s="1">
        <v>7</v>
      </c>
      <c r="F14" s="1" t="s">
        <v>33</v>
      </c>
      <c r="G14" s="1">
        <v>240</v>
      </c>
      <c r="H14" s="4" t="s">
        <v>56</v>
      </c>
      <c r="I14" s="3" t="s">
        <v>53</v>
      </c>
      <c r="J14" s="4">
        <v>1645</v>
      </c>
      <c r="K14" s="5">
        <v>0.28000000000000003</v>
      </c>
      <c r="L14" s="5">
        <v>0.28000000000000003</v>
      </c>
      <c r="M14" s="14">
        <f t="shared" si="1"/>
        <v>0.11331444759206799</v>
      </c>
      <c r="N14" s="14">
        <f t="shared" si="0"/>
        <v>0.11331444759206799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5.6">
      <c r="A15" s="1"/>
      <c r="B15" s="1" t="s">
        <v>31</v>
      </c>
      <c r="C15" s="1" t="s">
        <v>32</v>
      </c>
      <c r="D15" s="1" t="s">
        <v>31</v>
      </c>
      <c r="E15" s="1">
        <v>7</v>
      </c>
      <c r="F15" s="1" t="s">
        <v>33</v>
      </c>
      <c r="G15" s="1">
        <v>240</v>
      </c>
      <c r="H15" s="4" t="s">
        <v>56</v>
      </c>
      <c r="I15" s="3" t="s">
        <v>53</v>
      </c>
      <c r="J15" s="4">
        <v>1660</v>
      </c>
      <c r="K15" s="5">
        <v>0.56000000000000005</v>
      </c>
      <c r="L15" s="5">
        <v>0.56000000000000005</v>
      </c>
      <c r="M15" s="14">
        <f t="shared" si="1"/>
        <v>0.22662889518413598</v>
      </c>
      <c r="N15" s="14">
        <f t="shared" si="0"/>
        <v>0.22662889518413598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5.6">
      <c r="A16" s="1"/>
      <c r="B16" s="1" t="s">
        <v>31</v>
      </c>
      <c r="C16" s="1" t="s">
        <v>32</v>
      </c>
      <c r="D16" s="1" t="s">
        <v>31</v>
      </c>
      <c r="E16" s="1">
        <v>7</v>
      </c>
      <c r="F16" s="1" t="s">
        <v>33</v>
      </c>
      <c r="G16" s="1">
        <v>240</v>
      </c>
      <c r="H16" s="4" t="s">
        <v>60</v>
      </c>
      <c r="I16" s="3" t="s">
        <v>53</v>
      </c>
      <c r="J16" s="4" t="s">
        <v>34</v>
      </c>
      <c r="K16" s="5">
        <v>0.38</v>
      </c>
      <c r="L16" s="5">
        <v>0.38</v>
      </c>
      <c r="M16" s="14">
        <f t="shared" si="1"/>
        <v>0.15378389316066368</v>
      </c>
      <c r="N16" s="14">
        <f t="shared" si="0"/>
        <v>0.15378389316066368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.6">
      <c r="A17" s="1"/>
      <c r="B17" s="1" t="s">
        <v>31</v>
      </c>
      <c r="C17" s="1" t="s">
        <v>32</v>
      </c>
      <c r="D17" s="1" t="s">
        <v>31</v>
      </c>
      <c r="E17" s="1">
        <v>7</v>
      </c>
      <c r="F17" s="1" t="s">
        <v>33</v>
      </c>
      <c r="G17" s="1">
        <v>240</v>
      </c>
      <c r="H17" s="4" t="s">
        <v>58</v>
      </c>
      <c r="I17" s="3" t="s">
        <v>53</v>
      </c>
      <c r="J17" s="4" t="s">
        <v>35</v>
      </c>
      <c r="K17" s="5">
        <v>0.02</v>
      </c>
      <c r="L17" s="5">
        <v>0.02</v>
      </c>
      <c r="M17" s="14">
        <f t="shared" si="1"/>
        <v>8.0938891137191417E-3</v>
      </c>
      <c r="N17" s="14">
        <f t="shared" si="0"/>
        <v>8.0938891137191417E-3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.6">
      <c r="A18" s="1"/>
      <c r="B18" s="1" t="s">
        <v>31</v>
      </c>
      <c r="C18" s="1" t="s">
        <v>32</v>
      </c>
      <c r="D18" s="1" t="s">
        <v>31</v>
      </c>
      <c r="E18" s="1">
        <v>7</v>
      </c>
      <c r="F18" s="1" t="s">
        <v>33</v>
      </c>
      <c r="G18" s="1">
        <v>241</v>
      </c>
      <c r="H18" s="6" t="s">
        <v>61</v>
      </c>
      <c r="I18" s="3" t="s">
        <v>54</v>
      </c>
      <c r="J18" s="7">
        <v>959</v>
      </c>
      <c r="K18" s="5">
        <v>0.49</v>
      </c>
      <c r="L18" s="5">
        <v>0.32</v>
      </c>
      <c r="M18" s="14">
        <f t="shared" si="1"/>
        <v>0.19830028328611898</v>
      </c>
      <c r="N18" s="14">
        <f t="shared" si="0"/>
        <v>0.12950222581950627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6">
      <c r="A19" s="1"/>
      <c r="B19" s="1" t="s">
        <v>31</v>
      </c>
      <c r="C19" s="1" t="s">
        <v>32</v>
      </c>
      <c r="D19" s="1" t="s">
        <v>31</v>
      </c>
      <c r="E19" s="1">
        <v>7</v>
      </c>
      <c r="F19" s="1" t="s">
        <v>33</v>
      </c>
      <c r="G19" s="1">
        <v>241</v>
      </c>
      <c r="H19" s="6" t="s">
        <v>61</v>
      </c>
      <c r="I19" s="3" t="s">
        <v>54</v>
      </c>
      <c r="J19" s="7">
        <v>979</v>
      </c>
      <c r="K19" s="5">
        <v>0.22</v>
      </c>
      <c r="L19" s="5">
        <v>0.22</v>
      </c>
      <c r="M19" s="14">
        <f t="shared" si="1"/>
        <v>8.9032780250910562E-2</v>
      </c>
      <c r="N19" s="14">
        <f t="shared" si="0"/>
        <v>8.9032780250910562E-2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6">
      <c r="A20" s="1"/>
      <c r="B20" s="1" t="s">
        <v>31</v>
      </c>
      <c r="C20" s="1" t="s">
        <v>32</v>
      </c>
      <c r="D20" s="1" t="s">
        <v>31</v>
      </c>
      <c r="E20" s="1">
        <v>7</v>
      </c>
      <c r="F20" s="1" t="s">
        <v>33</v>
      </c>
      <c r="G20" s="1">
        <v>241</v>
      </c>
      <c r="H20" s="6" t="s">
        <v>62</v>
      </c>
      <c r="I20" s="3" t="s">
        <v>54</v>
      </c>
      <c r="J20" s="7">
        <v>1398</v>
      </c>
      <c r="K20" s="5">
        <v>0.34</v>
      </c>
      <c r="L20" s="5">
        <v>0.34</v>
      </c>
      <c r="M20" s="14">
        <f t="shared" si="1"/>
        <v>0.13759611493322543</v>
      </c>
      <c r="N20" s="14">
        <f t="shared" si="0"/>
        <v>0.13759611493322543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6">
      <c r="A21" s="1"/>
      <c r="B21" s="1" t="s">
        <v>31</v>
      </c>
      <c r="C21" s="1" t="s">
        <v>32</v>
      </c>
      <c r="D21" s="1" t="s">
        <v>31</v>
      </c>
      <c r="E21" s="1">
        <v>7</v>
      </c>
      <c r="F21" s="1" t="s">
        <v>33</v>
      </c>
      <c r="G21" s="1">
        <v>241</v>
      </c>
      <c r="H21" s="6" t="s">
        <v>61</v>
      </c>
      <c r="I21" s="3" t="s">
        <v>54</v>
      </c>
      <c r="J21" s="7">
        <v>1442</v>
      </c>
      <c r="K21" s="5">
        <v>2.56</v>
      </c>
      <c r="L21" s="5">
        <v>0.11</v>
      </c>
      <c r="M21" s="14">
        <f t="shared" si="1"/>
        <v>1.0360178065560501</v>
      </c>
      <c r="N21" s="14">
        <f t="shared" si="0"/>
        <v>4.4516390125455281E-2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6">
      <c r="A22" s="1"/>
      <c r="B22" s="1" t="s">
        <v>31</v>
      </c>
      <c r="C22" s="1" t="s">
        <v>32</v>
      </c>
      <c r="D22" s="1" t="s">
        <v>31</v>
      </c>
      <c r="E22" s="1">
        <v>7</v>
      </c>
      <c r="F22" s="1" t="s">
        <v>33</v>
      </c>
      <c r="G22" s="1">
        <v>241</v>
      </c>
      <c r="H22" s="6" t="s">
        <v>62</v>
      </c>
      <c r="I22" s="3" t="s">
        <v>54</v>
      </c>
      <c r="J22" s="7">
        <v>1532</v>
      </c>
      <c r="K22" s="5">
        <v>0.4</v>
      </c>
      <c r="L22" s="5">
        <v>0.2</v>
      </c>
      <c r="M22" s="14">
        <f t="shared" si="1"/>
        <v>0.16187778227438285</v>
      </c>
      <c r="N22" s="14">
        <f t="shared" si="0"/>
        <v>8.0938891137191424E-2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6">
      <c r="A23" s="1"/>
      <c r="B23" s="1" t="s">
        <v>31</v>
      </c>
      <c r="C23" s="1" t="s">
        <v>32</v>
      </c>
      <c r="D23" s="1" t="s">
        <v>31</v>
      </c>
      <c r="E23" s="1">
        <v>7</v>
      </c>
      <c r="F23" s="1" t="s">
        <v>33</v>
      </c>
      <c r="G23" s="1">
        <v>241</v>
      </c>
      <c r="H23" s="6" t="s">
        <v>62</v>
      </c>
      <c r="I23" s="3" t="s">
        <v>54</v>
      </c>
      <c r="J23" s="7">
        <v>1661</v>
      </c>
      <c r="K23" s="5">
        <v>0.38</v>
      </c>
      <c r="L23" s="5">
        <v>0.38</v>
      </c>
      <c r="M23" s="14">
        <f t="shared" si="1"/>
        <v>0.15378389316066368</v>
      </c>
      <c r="N23" s="14">
        <f t="shared" si="0"/>
        <v>0.15378389316066368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6">
      <c r="A24" s="1"/>
      <c r="B24" s="1" t="s">
        <v>31</v>
      </c>
      <c r="C24" s="1" t="s">
        <v>32</v>
      </c>
      <c r="D24" s="1" t="s">
        <v>31</v>
      </c>
      <c r="E24" s="1">
        <v>7</v>
      </c>
      <c r="F24" s="1" t="s">
        <v>33</v>
      </c>
      <c r="G24" s="1">
        <v>241</v>
      </c>
      <c r="H24" s="6" t="s">
        <v>62</v>
      </c>
      <c r="I24" s="3" t="s">
        <v>54</v>
      </c>
      <c r="J24" s="7">
        <v>1662</v>
      </c>
      <c r="K24" s="5">
        <v>1.55</v>
      </c>
      <c r="L24" s="5">
        <v>0.99</v>
      </c>
      <c r="M24" s="14">
        <f t="shared" si="1"/>
        <v>0.62727640631323356</v>
      </c>
      <c r="N24" s="14">
        <f t="shared" si="0"/>
        <v>0.40064751112909752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6">
      <c r="A25" s="1"/>
      <c r="B25" s="1" t="s">
        <v>31</v>
      </c>
      <c r="C25" s="1" t="s">
        <v>32</v>
      </c>
      <c r="D25" s="1" t="s">
        <v>31</v>
      </c>
      <c r="E25" s="1">
        <v>7</v>
      </c>
      <c r="F25" s="1" t="s">
        <v>33</v>
      </c>
      <c r="G25" s="1">
        <v>241</v>
      </c>
      <c r="H25" s="6" t="s">
        <v>62</v>
      </c>
      <c r="I25" s="3" t="s">
        <v>54</v>
      </c>
      <c r="J25" s="7">
        <v>1818</v>
      </c>
      <c r="K25" s="5">
        <v>4.55</v>
      </c>
      <c r="L25" s="5">
        <v>0.4</v>
      </c>
      <c r="M25" s="14">
        <f t="shared" si="1"/>
        <v>1.8413597733711047</v>
      </c>
      <c r="N25" s="14">
        <f t="shared" si="0"/>
        <v>0.16187778227438285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6">
      <c r="A26" s="1"/>
      <c r="B26" s="1" t="s">
        <v>31</v>
      </c>
      <c r="C26" s="1" t="s">
        <v>32</v>
      </c>
      <c r="D26" s="1" t="s">
        <v>31</v>
      </c>
      <c r="E26" s="1">
        <v>7</v>
      </c>
      <c r="F26" s="1" t="s">
        <v>33</v>
      </c>
      <c r="G26" s="1">
        <v>241</v>
      </c>
      <c r="H26" s="6" t="s">
        <v>62</v>
      </c>
      <c r="I26" s="3" t="s">
        <v>54</v>
      </c>
      <c r="J26" s="7" t="s">
        <v>36</v>
      </c>
      <c r="K26" s="5">
        <v>0.1</v>
      </c>
      <c r="L26" s="5">
        <v>0.04</v>
      </c>
      <c r="M26" s="14">
        <f t="shared" si="1"/>
        <v>4.0469445568595712E-2</v>
      </c>
      <c r="N26" s="14">
        <f t="shared" si="0"/>
        <v>1.6187778227438283E-2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6">
      <c r="A27" s="1"/>
      <c r="B27" s="1" t="s">
        <v>31</v>
      </c>
      <c r="C27" s="1" t="s">
        <v>32</v>
      </c>
      <c r="D27" s="1" t="s">
        <v>31</v>
      </c>
      <c r="E27" s="1">
        <v>7</v>
      </c>
      <c r="F27" s="1" t="s">
        <v>33</v>
      </c>
      <c r="G27" s="11">
        <v>242</v>
      </c>
      <c r="H27" s="4" t="s">
        <v>63</v>
      </c>
      <c r="I27" s="10" t="s">
        <v>55</v>
      </c>
      <c r="J27" s="4" t="s">
        <v>37</v>
      </c>
      <c r="K27" s="5">
        <v>0.08</v>
      </c>
      <c r="L27" s="5">
        <v>0.08</v>
      </c>
      <c r="M27" s="14">
        <f t="shared" si="1"/>
        <v>3.2375556454876567E-2</v>
      </c>
      <c r="N27" s="14">
        <f t="shared" si="0"/>
        <v>3.2375556454876567E-2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6">
      <c r="A28" s="1"/>
      <c r="B28" s="1" t="s">
        <v>31</v>
      </c>
      <c r="C28" s="1" t="s">
        <v>32</v>
      </c>
      <c r="D28" s="1" t="s">
        <v>31</v>
      </c>
      <c r="E28" s="1">
        <v>7</v>
      </c>
      <c r="F28" s="1" t="s">
        <v>33</v>
      </c>
      <c r="G28" s="11">
        <v>242</v>
      </c>
      <c r="H28" s="4" t="s">
        <v>64</v>
      </c>
      <c r="I28" s="10" t="s">
        <v>55</v>
      </c>
      <c r="J28" s="4" t="s">
        <v>38</v>
      </c>
      <c r="K28" s="5">
        <v>0.2</v>
      </c>
      <c r="L28" s="5">
        <v>0.2</v>
      </c>
      <c r="M28" s="14">
        <f t="shared" si="1"/>
        <v>8.0938891137191424E-2</v>
      </c>
      <c r="N28" s="14">
        <f t="shared" si="0"/>
        <v>8.0938891137191424E-2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6">
      <c r="A29" s="1"/>
      <c r="B29" s="1" t="s">
        <v>31</v>
      </c>
      <c r="C29" s="1" t="s">
        <v>32</v>
      </c>
      <c r="D29" s="1" t="s">
        <v>31</v>
      </c>
      <c r="E29" s="1">
        <v>7</v>
      </c>
      <c r="F29" s="1" t="s">
        <v>33</v>
      </c>
      <c r="G29" s="11">
        <v>242</v>
      </c>
      <c r="H29" s="4" t="s">
        <v>64</v>
      </c>
      <c r="I29" s="10" t="s">
        <v>55</v>
      </c>
      <c r="J29" s="4">
        <v>977</v>
      </c>
      <c r="K29" s="5">
        <v>0.49</v>
      </c>
      <c r="L29" s="5">
        <v>0.49</v>
      </c>
      <c r="M29" s="14">
        <f t="shared" si="1"/>
        <v>0.19830028328611898</v>
      </c>
      <c r="N29" s="14">
        <f t="shared" si="0"/>
        <v>0.19830028328611898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6">
      <c r="A30" s="1"/>
      <c r="B30" s="1" t="s">
        <v>31</v>
      </c>
      <c r="C30" s="1" t="s">
        <v>32</v>
      </c>
      <c r="D30" s="1" t="s">
        <v>31</v>
      </c>
      <c r="E30" s="1">
        <v>7</v>
      </c>
      <c r="F30" s="1" t="s">
        <v>33</v>
      </c>
      <c r="G30" s="11">
        <v>242</v>
      </c>
      <c r="H30" s="4" t="s">
        <v>65</v>
      </c>
      <c r="I30" s="10" t="s">
        <v>55</v>
      </c>
      <c r="J30" s="4" t="s">
        <v>39</v>
      </c>
      <c r="K30" s="5">
        <v>0.04</v>
      </c>
      <c r="L30" s="5">
        <v>0.04</v>
      </c>
      <c r="M30" s="14">
        <f t="shared" si="1"/>
        <v>1.6187778227438283E-2</v>
      </c>
      <c r="N30" s="14">
        <f t="shared" si="0"/>
        <v>1.6187778227438283E-2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6">
      <c r="A31" s="1"/>
      <c r="B31" s="1" t="s">
        <v>31</v>
      </c>
      <c r="C31" s="1" t="s">
        <v>32</v>
      </c>
      <c r="D31" s="1" t="s">
        <v>31</v>
      </c>
      <c r="E31" s="1">
        <v>7</v>
      </c>
      <c r="F31" s="1" t="s">
        <v>33</v>
      </c>
      <c r="G31" s="11">
        <v>242</v>
      </c>
      <c r="H31" s="4" t="s">
        <v>65</v>
      </c>
      <c r="I31" s="10" t="s">
        <v>55</v>
      </c>
      <c r="J31" s="4" t="s">
        <v>40</v>
      </c>
      <c r="K31" s="5">
        <v>0.02</v>
      </c>
      <c r="L31" s="5">
        <v>0.02</v>
      </c>
      <c r="M31" s="14">
        <f t="shared" si="1"/>
        <v>8.0938891137191417E-3</v>
      </c>
      <c r="N31" s="14">
        <f t="shared" si="0"/>
        <v>8.0938891137191417E-3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6">
      <c r="A32" s="1"/>
      <c r="B32" s="1" t="s">
        <v>31</v>
      </c>
      <c r="C32" s="1" t="s">
        <v>32</v>
      </c>
      <c r="D32" s="1" t="s">
        <v>31</v>
      </c>
      <c r="E32" s="1">
        <v>7</v>
      </c>
      <c r="F32" s="1" t="s">
        <v>33</v>
      </c>
      <c r="G32" s="11">
        <v>242</v>
      </c>
      <c r="H32" s="4" t="s">
        <v>65</v>
      </c>
      <c r="I32" s="10" t="s">
        <v>55</v>
      </c>
      <c r="J32" s="4" t="s">
        <v>41</v>
      </c>
      <c r="K32" s="5">
        <v>0.04</v>
      </c>
      <c r="L32" s="5">
        <v>0.04</v>
      </c>
      <c r="M32" s="14">
        <f t="shared" si="1"/>
        <v>1.6187778227438283E-2</v>
      </c>
      <c r="N32" s="14">
        <f t="shared" si="0"/>
        <v>1.6187778227438283E-2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6">
      <c r="A33" s="1"/>
      <c r="B33" s="1" t="s">
        <v>31</v>
      </c>
      <c r="C33" s="1" t="s">
        <v>32</v>
      </c>
      <c r="D33" s="1" t="s">
        <v>31</v>
      </c>
      <c r="E33" s="1">
        <v>7</v>
      </c>
      <c r="F33" s="1" t="s">
        <v>33</v>
      </c>
      <c r="G33" s="11">
        <v>242</v>
      </c>
      <c r="H33" s="4" t="s">
        <v>65</v>
      </c>
      <c r="I33" s="10" t="s">
        <v>55</v>
      </c>
      <c r="J33" s="4" t="s">
        <v>42</v>
      </c>
      <c r="K33" s="5">
        <v>0.02</v>
      </c>
      <c r="L33" s="5">
        <v>0.02</v>
      </c>
      <c r="M33" s="14">
        <f t="shared" si="1"/>
        <v>8.0938891137191417E-3</v>
      </c>
      <c r="N33" s="14">
        <f t="shared" si="0"/>
        <v>8.0938891137191417E-3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6">
      <c r="A34" s="1"/>
      <c r="B34" s="1" t="s">
        <v>31</v>
      </c>
      <c r="C34" s="1" t="s">
        <v>32</v>
      </c>
      <c r="D34" s="1" t="s">
        <v>31</v>
      </c>
      <c r="E34" s="1">
        <v>7</v>
      </c>
      <c r="F34" s="1" t="s">
        <v>33</v>
      </c>
      <c r="G34" s="11">
        <v>242</v>
      </c>
      <c r="H34" s="4" t="s">
        <v>65</v>
      </c>
      <c r="I34" s="10" t="s">
        <v>55</v>
      </c>
      <c r="J34" s="4" t="s">
        <v>43</v>
      </c>
      <c r="K34" s="5">
        <v>0.08</v>
      </c>
      <c r="L34" s="5">
        <v>0.08</v>
      </c>
      <c r="M34" s="14">
        <f t="shared" si="1"/>
        <v>3.2375556454876567E-2</v>
      </c>
      <c r="N34" s="14">
        <f t="shared" si="0"/>
        <v>3.2375556454876567E-2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6">
      <c r="A35" s="1"/>
      <c r="B35" s="1" t="s">
        <v>31</v>
      </c>
      <c r="C35" s="1" t="s">
        <v>32</v>
      </c>
      <c r="D35" s="1" t="s">
        <v>31</v>
      </c>
      <c r="E35" s="1">
        <v>7</v>
      </c>
      <c r="F35" s="1" t="s">
        <v>33</v>
      </c>
      <c r="G35" s="11">
        <v>242</v>
      </c>
      <c r="H35" s="4" t="s">
        <v>65</v>
      </c>
      <c r="I35" s="10" t="s">
        <v>55</v>
      </c>
      <c r="J35" s="4" t="s">
        <v>44</v>
      </c>
      <c r="K35" s="5">
        <v>0.03</v>
      </c>
      <c r="L35" s="5">
        <v>0.03</v>
      </c>
      <c r="M35" s="14">
        <f t="shared" si="1"/>
        <v>1.2140833670578713E-2</v>
      </c>
      <c r="N35" s="14">
        <f t="shared" si="0"/>
        <v>1.2140833670578713E-2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6">
      <c r="A36" s="1"/>
      <c r="B36" s="1" t="s">
        <v>31</v>
      </c>
      <c r="C36" s="1" t="s">
        <v>32</v>
      </c>
      <c r="D36" s="1" t="s">
        <v>31</v>
      </c>
      <c r="E36" s="1">
        <v>7</v>
      </c>
      <c r="F36" s="1" t="s">
        <v>33</v>
      </c>
      <c r="G36" s="11">
        <v>242</v>
      </c>
      <c r="H36" s="4" t="s">
        <v>65</v>
      </c>
      <c r="I36" s="10" t="s">
        <v>55</v>
      </c>
      <c r="J36" s="4" t="s">
        <v>45</v>
      </c>
      <c r="K36" s="5">
        <v>0.04</v>
      </c>
      <c r="L36" s="5">
        <v>0.04</v>
      </c>
      <c r="M36" s="14">
        <f t="shared" si="1"/>
        <v>1.6187778227438283E-2</v>
      </c>
      <c r="N36" s="14">
        <f t="shared" si="0"/>
        <v>1.6187778227438283E-2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6">
      <c r="A37" s="1"/>
      <c r="B37" s="1" t="s">
        <v>31</v>
      </c>
      <c r="C37" s="1" t="s">
        <v>32</v>
      </c>
      <c r="D37" s="1" t="s">
        <v>31</v>
      </c>
      <c r="E37" s="1">
        <v>7</v>
      </c>
      <c r="F37" s="1" t="s">
        <v>33</v>
      </c>
      <c r="G37" s="11">
        <v>242</v>
      </c>
      <c r="H37" s="4" t="s">
        <v>65</v>
      </c>
      <c r="I37" s="10" t="s">
        <v>55</v>
      </c>
      <c r="J37" s="4" t="s">
        <v>46</v>
      </c>
      <c r="K37" s="5">
        <v>0.28999999999999998</v>
      </c>
      <c r="L37" s="5">
        <v>0.09</v>
      </c>
      <c r="M37" s="14">
        <f t="shared" si="1"/>
        <v>0.11736139214892755</v>
      </c>
      <c r="N37" s="14">
        <f t="shared" si="0"/>
        <v>3.6422501011736136E-2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6">
      <c r="A38" s="1"/>
      <c r="B38" s="1" t="s">
        <v>31</v>
      </c>
      <c r="C38" s="1" t="s">
        <v>32</v>
      </c>
      <c r="D38" s="1" t="s">
        <v>31</v>
      </c>
      <c r="E38" s="1">
        <v>7</v>
      </c>
      <c r="F38" s="1" t="s">
        <v>33</v>
      </c>
      <c r="G38" s="11">
        <v>242</v>
      </c>
      <c r="H38" s="4" t="s">
        <v>66</v>
      </c>
      <c r="I38" s="10" t="s">
        <v>55</v>
      </c>
      <c r="J38" s="4" t="s">
        <v>47</v>
      </c>
      <c r="K38" s="5">
        <v>0.04</v>
      </c>
      <c r="L38" s="5">
        <v>0.04</v>
      </c>
      <c r="M38" s="14">
        <f t="shared" si="1"/>
        <v>1.6187778227438283E-2</v>
      </c>
      <c r="N38" s="14">
        <f t="shared" si="0"/>
        <v>1.6187778227438283E-2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6">
      <c r="A39" s="1"/>
      <c r="B39" s="1" t="s">
        <v>31</v>
      </c>
      <c r="C39" s="1" t="s">
        <v>32</v>
      </c>
      <c r="D39" s="1" t="s">
        <v>31</v>
      </c>
      <c r="E39" s="1">
        <v>7</v>
      </c>
      <c r="F39" s="1" t="s">
        <v>33</v>
      </c>
      <c r="G39" s="11">
        <v>242</v>
      </c>
      <c r="H39" s="4" t="s">
        <v>67</v>
      </c>
      <c r="I39" s="10" t="s">
        <v>55</v>
      </c>
      <c r="J39" s="4" t="s">
        <v>48</v>
      </c>
      <c r="K39" s="5">
        <v>0.06</v>
      </c>
      <c r="L39" s="5">
        <v>0.03</v>
      </c>
      <c r="M39" s="14">
        <f t="shared" si="1"/>
        <v>2.4281667341157425E-2</v>
      </c>
      <c r="N39" s="14">
        <f t="shared" si="0"/>
        <v>1.2140833670578713E-2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6">
      <c r="A40" s="1"/>
      <c r="B40" s="1" t="s">
        <v>31</v>
      </c>
      <c r="C40" s="1" t="s">
        <v>33</v>
      </c>
      <c r="D40" s="1" t="s">
        <v>31</v>
      </c>
      <c r="E40" s="1">
        <v>7</v>
      </c>
      <c r="F40" s="1" t="s">
        <v>33</v>
      </c>
      <c r="G40" s="11">
        <v>161</v>
      </c>
      <c r="H40" s="4" t="s">
        <v>61</v>
      </c>
      <c r="I40" s="9" t="s">
        <v>54</v>
      </c>
      <c r="J40" s="4">
        <v>1756</v>
      </c>
      <c r="K40" s="5">
        <v>0.42</v>
      </c>
      <c r="L40" s="5">
        <v>0.16</v>
      </c>
      <c r="M40" s="14">
        <f t="shared" si="1"/>
        <v>0.16997167138810196</v>
      </c>
      <c r="N40" s="14">
        <f t="shared" si="0"/>
        <v>6.4751112909753133E-2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"/>
      <c r="B41" s="1" t="s">
        <v>31</v>
      </c>
      <c r="C41" s="1" t="s">
        <v>32</v>
      </c>
      <c r="D41" s="1" t="s">
        <v>31</v>
      </c>
      <c r="E41" s="1">
        <v>7</v>
      </c>
      <c r="F41" s="1" t="s">
        <v>33</v>
      </c>
      <c r="G41" s="11">
        <v>240</v>
      </c>
      <c r="H41" s="8" t="s">
        <v>56</v>
      </c>
      <c r="I41" s="10" t="s">
        <v>53</v>
      </c>
      <c r="J41" s="8">
        <v>248</v>
      </c>
      <c r="K41" s="12">
        <v>3.14</v>
      </c>
      <c r="L41" s="12">
        <v>3.14</v>
      </c>
      <c r="M41" s="14">
        <f t="shared" si="1"/>
        <v>1.2707405908539053</v>
      </c>
      <c r="N41" s="14">
        <f t="shared" si="0"/>
        <v>1.2707405908539053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"/>
      <c r="B42" s="1" t="s">
        <v>31</v>
      </c>
      <c r="C42" s="1" t="s">
        <v>32</v>
      </c>
      <c r="D42" s="1" t="s">
        <v>31</v>
      </c>
      <c r="E42" s="1">
        <v>7</v>
      </c>
      <c r="F42" s="1" t="s">
        <v>33</v>
      </c>
      <c r="G42" s="11">
        <v>240</v>
      </c>
      <c r="H42" s="8" t="s">
        <v>56</v>
      </c>
      <c r="I42" s="10" t="s">
        <v>53</v>
      </c>
      <c r="J42" s="8">
        <v>256</v>
      </c>
      <c r="K42" s="12">
        <v>1.1499999999999999</v>
      </c>
      <c r="L42" s="12">
        <v>1.1499999999999999</v>
      </c>
      <c r="M42" s="14">
        <f t="shared" si="1"/>
        <v>0.46539862403885063</v>
      </c>
      <c r="N42" s="14">
        <f t="shared" si="0"/>
        <v>0.46539862403885063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"/>
      <c r="B43" s="1" t="s">
        <v>31</v>
      </c>
      <c r="C43" s="1" t="s">
        <v>32</v>
      </c>
      <c r="D43" s="1" t="s">
        <v>31</v>
      </c>
      <c r="E43" s="1">
        <v>7</v>
      </c>
      <c r="F43" s="1" t="s">
        <v>33</v>
      </c>
      <c r="G43" s="11">
        <v>240</v>
      </c>
      <c r="H43" s="8" t="s">
        <v>56</v>
      </c>
      <c r="I43" s="10" t="s">
        <v>53</v>
      </c>
      <c r="J43" s="8">
        <v>258</v>
      </c>
      <c r="K43" s="12">
        <v>3.44</v>
      </c>
      <c r="L43" s="12">
        <v>3</v>
      </c>
      <c r="M43" s="14">
        <f t="shared" si="1"/>
        <v>1.3921489275596923</v>
      </c>
      <c r="N43" s="14">
        <f t="shared" si="0"/>
        <v>1.2140833670578712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"/>
      <c r="B44" s="1" t="s">
        <v>31</v>
      </c>
      <c r="C44" s="1" t="s">
        <v>32</v>
      </c>
      <c r="D44" s="1" t="s">
        <v>31</v>
      </c>
      <c r="E44" s="1">
        <v>7</v>
      </c>
      <c r="F44" s="1" t="s">
        <v>33</v>
      </c>
      <c r="G44" s="11">
        <v>240</v>
      </c>
      <c r="H44" s="8" t="s">
        <v>56</v>
      </c>
      <c r="I44" s="10" t="s">
        <v>53</v>
      </c>
      <c r="J44" s="8">
        <v>273</v>
      </c>
      <c r="K44" s="12">
        <v>16.87</v>
      </c>
      <c r="L44" s="12">
        <v>16</v>
      </c>
      <c r="M44" s="14">
        <f t="shared" si="1"/>
        <v>6.8271954674220963</v>
      </c>
      <c r="N44" s="14">
        <f t="shared" si="0"/>
        <v>6.4751112909753132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"/>
      <c r="B45" s="1" t="s">
        <v>31</v>
      </c>
      <c r="C45" s="1" t="s">
        <v>32</v>
      </c>
      <c r="D45" s="1" t="s">
        <v>31</v>
      </c>
      <c r="E45" s="1">
        <v>7</v>
      </c>
      <c r="F45" s="1" t="s">
        <v>33</v>
      </c>
      <c r="G45" s="11">
        <v>240</v>
      </c>
      <c r="H45" s="8" t="s">
        <v>56</v>
      </c>
      <c r="I45" s="10" t="s">
        <v>53</v>
      </c>
      <c r="J45" s="8">
        <v>274</v>
      </c>
      <c r="K45" s="12">
        <v>2.54</v>
      </c>
      <c r="L45" s="12">
        <v>0.7</v>
      </c>
      <c r="M45" s="14">
        <f t="shared" si="1"/>
        <v>1.0279239174423309</v>
      </c>
      <c r="N45" s="14">
        <f t="shared" si="0"/>
        <v>0.28328611898016992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"/>
      <c r="B46" s="1" t="s">
        <v>31</v>
      </c>
      <c r="C46" s="1" t="s">
        <v>32</v>
      </c>
      <c r="D46" s="1" t="s">
        <v>31</v>
      </c>
      <c r="E46" s="1">
        <v>7</v>
      </c>
      <c r="F46" s="1" t="s">
        <v>33</v>
      </c>
      <c r="G46" s="11">
        <v>240</v>
      </c>
      <c r="H46" s="8" t="s">
        <v>56</v>
      </c>
      <c r="I46" s="10" t="s">
        <v>53</v>
      </c>
      <c r="J46" s="8">
        <v>283</v>
      </c>
      <c r="K46" s="12">
        <v>19.559999999999999</v>
      </c>
      <c r="L46" s="12">
        <v>2.2000000000000002</v>
      </c>
      <c r="M46" s="14">
        <f t="shared" si="1"/>
        <v>7.9158235532173205</v>
      </c>
      <c r="N46" s="14">
        <f t="shared" si="0"/>
        <v>0.8903278025091057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"/>
      <c r="B47" s="1" t="s">
        <v>31</v>
      </c>
      <c r="C47" s="1" t="s">
        <v>32</v>
      </c>
      <c r="D47" s="1" t="s">
        <v>31</v>
      </c>
      <c r="E47" s="1">
        <v>7</v>
      </c>
      <c r="F47" s="1" t="s">
        <v>33</v>
      </c>
      <c r="G47" s="11">
        <v>240</v>
      </c>
      <c r="H47" s="8" t="s">
        <v>56</v>
      </c>
      <c r="I47" s="10" t="s">
        <v>53</v>
      </c>
      <c r="J47" s="8">
        <v>333</v>
      </c>
      <c r="K47" s="12">
        <v>3.25</v>
      </c>
      <c r="L47" s="13">
        <v>3.2</v>
      </c>
      <c r="M47" s="14">
        <f t="shared" si="1"/>
        <v>1.3152569809793606</v>
      </c>
      <c r="N47" s="14">
        <f t="shared" si="0"/>
        <v>1.2950222581950628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"/>
      <c r="B48" s="1" t="s">
        <v>31</v>
      </c>
      <c r="C48" s="1" t="s">
        <v>32</v>
      </c>
      <c r="D48" s="1" t="s">
        <v>31</v>
      </c>
      <c r="E48" s="1">
        <v>7</v>
      </c>
      <c r="F48" s="1" t="s">
        <v>33</v>
      </c>
      <c r="G48" s="11">
        <v>240</v>
      </c>
      <c r="H48" s="8" t="s">
        <v>56</v>
      </c>
      <c r="I48" s="10" t="s">
        <v>53</v>
      </c>
      <c r="J48" s="8">
        <v>335</v>
      </c>
      <c r="K48" s="12">
        <v>3.25</v>
      </c>
      <c r="L48" s="12">
        <v>2.2000000000000002</v>
      </c>
      <c r="M48" s="14">
        <f t="shared" si="1"/>
        <v>1.3152569809793606</v>
      </c>
      <c r="N48" s="14">
        <f t="shared" si="0"/>
        <v>0.8903278025091057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"/>
      <c r="B49" s="1" t="s">
        <v>31</v>
      </c>
      <c r="C49" s="1" t="s">
        <v>32</v>
      </c>
      <c r="D49" s="1" t="s">
        <v>31</v>
      </c>
      <c r="E49" s="1">
        <v>7</v>
      </c>
      <c r="F49" s="1" t="s">
        <v>33</v>
      </c>
      <c r="G49" s="11">
        <v>240</v>
      </c>
      <c r="H49" s="8" t="s">
        <v>56</v>
      </c>
      <c r="I49" s="10" t="s">
        <v>53</v>
      </c>
      <c r="J49" s="8">
        <v>966</v>
      </c>
      <c r="K49" s="12">
        <v>5.52</v>
      </c>
      <c r="L49" s="12">
        <v>4.59</v>
      </c>
      <c r="M49" s="14">
        <f t="shared" si="1"/>
        <v>2.2339133953864829</v>
      </c>
      <c r="N49" s="14">
        <f t="shared" si="0"/>
        <v>1.8575475515985429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"/>
      <c r="B50" s="1" t="s">
        <v>31</v>
      </c>
      <c r="C50" s="1" t="s">
        <v>32</v>
      </c>
      <c r="D50" s="1" t="s">
        <v>31</v>
      </c>
      <c r="E50" s="1">
        <v>7</v>
      </c>
      <c r="F50" s="1" t="s">
        <v>33</v>
      </c>
      <c r="G50" s="11">
        <v>240</v>
      </c>
      <c r="H50" s="8" t="s">
        <v>56</v>
      </c>
      <c r="I50" s="10" t="s">
        <v>53</v>
      </c>
      <c r="J50" s="8">
        <v>969</v>
      </c>
      <c r="K50" s="12">
        <v>0.14000000000000001</v>
      </c>
      <c r="L50" s="12">
        <v>0.14000000000000001</v>
      </c>
      <c r="M50" s="14">
        <f t="shared" si="1"/>
        <v>5.6657223796033995E-2</v>
      </c>
      <c r="N50" s="14">
        <f t="shared" si="0"/>
        <v>5.6657223796033995E-2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"/>
      <c r="B51" s="1" t="s">
        <v>31</v>
      </c>
      <c r="C51" s="1" t="s">
        <v>32</v>
      </c>
      <c r="D51" s="1" t="s">
        <v>31</v>
      </c>
      <c r="E51" s="1">
        <v>7</v>
      </c>
      <c r="F51" s="1" t="s">
        <v>33</v>
      </c>
      <c r="G51" s="11">
        <v>240</v>
      </c>
      <c r="H51" s="8" t="s">
        <v>56</v>
      </c>
      <c r="I51" s="10" t="s">
        <v>53</v>
      </c>
      <c r="J51" s="8">
        <v>973</v>
      </c>
      <c r="K51" s="12">
        <v>4.57</v>
      </c>
      <c r="L51" s="12">
        <v>4.57</v>
      </c>
      <c r="M51" s="14">
        <f t="shared" si="1"/>
        <v>1.8494536624848239</v>
      </c>
      <c r="N51" s="14">
        <f t="shared" si="0"/>
        <v>1.8494536624848239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"/>
      <c r="B52" s="1" t="s">
        <v>31</v>
      </c>
      <c r="C52" s="1" t="s">
        <v>32</v>
      </c>
      <c r="D52" s="1" t="s">
        <v>31</v>
      </c>
      <c r="E52" s="1">
        <v>7</v>
      </c>
      <c r="F52" s="1" t="s">
        <v>33</v>
      </c>
      <c r="G52" s="11">
        <v>240</v>
      </c>
      <c r="H52" s="8" t="s">
        <v>56</v>
      </c>
      <c r="I52" s="10" t="s">
        <v>53</v>
      </c>
      <c r="J52" s="8">
        <v>975</v>
      </c>
      <c r="K52" s="12">
        <v>8.5500000000000007</v>
      </c>
      <c r="L52" s="12">
        <v>0.72</v>
      </c>
      <c r="M52" s="14">
        <f t="shared" si="1"/>
        <v>3.4601375961149334</v>
      </c>
      <c r="N52" s="14">
        <f t="shared" si="0"/>
        <v>0.29138000809388909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"/>
      <c r="B53" s="1" t="s">
        <v>31</v>
      </c>
      <c r="C53" s="1" t="s">
        <v>32</v>
      </c>
      <c r="D53" s="1" t="s">
        <v>31</v>
      </c>
      <c r="E53" s="1">
        <v>7</v>
      </c>
      <c r="F53" s="1" t="s">
        <v>33</v>
      </c>
      <c r="G53" s="11">
        <v>240</v>
      </c>
      <c r="H53" s="8" t="s">
        <v>56</v>
      </c>
      <c r="I53" s="10" t="s">
        <v>53</v>
      </c>
      <c r="J53" s="8">
        <v>1626</v>
      </c>
      <c r="K53" s="12">
        <v>0.1</v>
      </c>
      <c r="L53" s="12">
        <v>0.1</v>
      </c>
      <c r="M53" s="14">
        <f t="shared" si="1"/>
        <v>4.0469445568595712E-2</v>
      </c>
      <c r="N53" s="14">
        <f t="shared" si="0"/>
        <v>4.0469445568595712E-2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"/>
      <c r="B54" s="1" t="s">
        <v>31</v>
      </c>
      <c r="C54" s="1" t="s">
        <v>32</v>
      </c>
      <c r="D54" s="1" t="s">
        <v>31</v>
      </c>
      <c r="E54" s="1">
        <v>7</v>
      </c>
      <c r="F54" s="1" t="s">
        <v>33</v>
      </c>
      <c r="G54" s="11">
        <v>240</v>
      </c>
      <c r="H54" s="8" t="s">
        <v>56</v>
      </c>
      <c r="I54" s="10" t="s">
        <v>53</v>
      </c>
      <c r="J54" s="8" t="s">
        <v>49</v>
      </c>
      <c r="K54" s="12">
        <v>0.15</v>
      </c>
      <c r="L54" s="12">
        <v>0.15</v>
      </c>
      <c r="M54" s="14">
        <f t="shared" si="1"/>
        <v>6.0704168352893564E-2</v>
      </c>
      <c r="N54" s="14">
        <f t="shared" si="0"/>
        <v>6.0704168352893564E-2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"/>
      <c r="B55" s="1" t="s">
        <v>31</v>
      </c>
      <c r="C55" s="1" t="s">
        <v>32</v>
      </c>
      <c r="D55" s="1" t="s">
        <v>31</v>
      </c>
      <c r="E55" s="1">
        <v>7</v>
      </c>
      <c r="F55" s="1" t="s">
        <v>33</v>
      </c>
      <c r="G55" s="11">
        <v>240</v>
      </c>
      <c r="H55" s="8" t="s">
        <v>56</v>
      </c>
      <c r="I55" s="10" t="s">
        <v>53</v>
      </c>
      <c r="J55" s="8" t="s">
        <v>50</v>
      </c>
      <c r="K55" s="12">
        <v>0.02</v>
      </c>
      <c r="L55" s="12">
        <v>0.02</v>
      </c>
      <c r="M55" s="14">
        <f t="shared" si="1"/>
        <v>8.0938891137191417E-3</v>
      </c>
      <c r="N55" s="14">
        <f t="shared" si="0"/>
        <v>8.0938891137191417E-3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"/>
      <c r="B56" s="1" t="s">
        <v>31</v>
      </c>
      <c r="C56" s="1" t="s">
        <v>32</v>
      </c>
      <c r="D56" s="1" t="s">
        <v>31</v>
      </c>
      <c r="E56" s="1">
        <v>7</v>
      </c>
      <c r="F56" s="1" t="s">
        <v>33</v>
      </c>
      <c r="G56" s="11">
        <v>240</v>
      </c>
      <c r="H56" s="8" t="s">
        <v>57</v>
      </c>
      <c r="I56" s="10" t="s">
        <v>53</v>
      </c>
      <c r="J56" s="8">
        <v>330</v>
      </c>
      <c r="K56" s="12">
        <v>0.55000000000000004</v>
      </c>
      <c r="L56" s="12">
        <v>0.04</v>
      </c>
      <c r="M56" s="14">
        <f t="shared" si="1"/>
        <v>0.22258195062727643</v>
      </c>
      <c r="N56" s="14">
        <f t="shared" si="0"/>
        <v>1.6187778227438283E-2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"/>
      <c r="B57" s="1" t="s">
        <v>31</v>
      </c>
      <c r="C57" s="1" t="s">
        <v>32</v>
      </c>
      <c r="D57" s="1" t="s">
        <v>31</v>
      </c>
      <c r="E57" s="1">
        <v>7</v>
      </c>
      <c r="F57" s="1" t="s">
        <v>33</v>
      </c>
      <c r="G57" s="11">
        <v>240</v>
      </c>
      <c r="H57" s="8" t="s">
        <v>57</v>
      </c>
      <c r="I57" s="10" t="s">
        <v>53</v>
      </c>
      <c r="J57" s="8">
        <v>970</v>
      </c>
      <c r="K57" s="12">
        <v>0.43</v>
      </c>
      <c r="L57" s="12">
        <v>0.31</v>
      </c>
      <c r="M57" s="14">
        <f t="shared" si="1"/>
        <v>0.17401861594496154</v>
      </c>
      <c r="N57" s="14">
        <f t="shared" si="0"/>
        <v>0.12545528126264668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"/>
      <c r="B58" s="1" t="s">
        <v>31</v>
      </c>
      <c r="C58" s="1" t="s">
        <v>32</v>
      </c>
      <c r="D58" s="1" t="s">
        <v>31</v>
      </c>
      <c r="E58" s="1">
        <v>7</v>
      </c>
      <c r="F58" s="1" t="s">
        <v>33</v>
      </c>
      <c r="G58" s="11">
        <v>241</v>
      </c>
      <c r="H58" s="8" t="s">
        <v>61</v>
      </c>
      <c r="I58" s="10" t="s">
        <v>54</v>
      </c>
      <c r="J58" s="8">
        <v>255</v>
      </c>
      <c r="K58" s="12">
        <v>1.1499999999999999</v>
      </c>
      <c r="L58" s="12">
        <v>0.67</v>
      </c>
      <c r="M58" s="14">
        <f t="shared" si="1"/>
        <v>0.46539862403885063</v>
      </c>
      <c r="N58" s="14">
        <f t="shared" si="0"/>
        <v>0.27114528530959126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"/>
      <c r="B59" s="1" t="s">
        <v>31</v>
      </c>
      <c r="C59" s="1" t="s">
        <v>32</v>
      </c>
      <c r="D59" s="1" t="s">
        <v>31</v>
      </c>
      <c r="E59" s="1">
        <v>7</v>
      </c>
      <c r="F59" s="1" t="s">
        <v>33</v>
      </c>
      <c r="G59" s="11">
        <v>241</v>
      </c>
      <c r="H59" s="8" t="s">
        <v>61</v>
      </c>
      <c r="I59" s="10" t="s">
        <v>54</v>
      </c>
      <c r="J59" s="8">
        <v>971</v>
      </c>
      <c r="K59" s="12">
        <v>0.85</v>
      </c>
      <c r="L59" s="12">
        <v>0.46</v>
      </c>
      <c r="M59" s="14">
        <f t="shared" si="1"/>
        <v>0.34399028733306353</v>
      </c>
      <c r="N59" s="14">
        <f t="shared" si="0"/>
        <v>0.18615944961554026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"/>
      <c r="B60" s="1" t="s">
        <v>31</v>
      </c>
      <c r="C60" s="1" t="s">
        <v>32</v>
      </c>
      <c r="D60" s="1" t="s">
        <v>31</v>
      </c>
      <c r="E60" s="1">
        <v>7</v>
      </c>
      <c r="F60" s="1" t="s">
        <v>33</v>
      </c>
      <c r="G60" s="11">
        <v>242</v>
      </c>
      <c r="H60" s="8" t="s">
        <v>63</v>
      </c>
      <c r="I60" s="10" t="s">
        <v>55</v>
      </c>
      <c r="J60" s="8">
        <v>244</v>
      </c>
      <c r="K60" s="12">
        <v>0.13</v>
      </c>
      <c r="L60" s="12">
        <v>0.13</v>
      </c>
      <c r="M60" s="14">
        <f t="shared" si="1"/>
        <v>5.2610279239174426E-2</v>
      </c>
      <c r="N60" s="14">
        <f t="shared" si="0"/>
        <v>5.2610279239174426E-2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"/>
      <c r="B61" s="1" t="s">
        <v>31</v>
      </c>
      <c r="C61" s="1" t="s">
        <v>32</v>
      </c>
      <c r="D61" s="1" t="s">
        <v>31</v>
      </c>
      <c r="E61" s="1">
        <v>7</v>
      </c>
      <c r="F61" s="1" t="s">
        <v>33</v>
      </c>
      <c r="G61" s="11">
        <v>242</v>
      </c>
      <c r="H61" s="8" t="s">
        <v>63</v>
      </c>
      <c r="I61" s="10" t="s">
        <v>55</v>
      </c>
      <c r="J61" s="8">
        <v>249</v>
      </c>
      <c r="K61" s="12">
        <v>0.76</v>
      </c>
      <c r="L61" s="12">
        <v>0.76</v>
      </c>
      <c r="M61" s="14">
        <f t="shared" si="1"/>
        <v>0.30756778632132736</v>
      </c>
      <c r="N61" s="14">
        <f t="shared" si="0"/>
        <v>0.30756778632132736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"/>
      <c r="B62" s="1" t="s">
        <v>31</v>
      </c>
      <c r="C62" s="1" t="s">
        <v>32</v>
      </c>
      <c r="D62" s="1" t="s">
        <v>31</v>
      </c>
      <c r="E62" s="1">
        <v>7</v>
      </c>
      <c r="F62" s="1" t="s">
        <v>33</v>
      </c>
      <c r="G62" s="11">
        <v>242</v>
      </c>
      <c r="H62" s="8" t="s">
        <v>63</v>
      </c>
      <c r="I62" s="10" t="s">
        <v>55</v>
      </c>
      <c r="J62" s="8">
        <v>250</v>
      </c>
      <c r="K62" s="12">
        <v>0.42</v>
      </c>
      <c r="L62" s="12">
        <v>0.42</v>
      </c>
      <c r="M62" s="14">
        <f t="shared" si="1"/>
        <v>0.16997167138810196</v>
      </c>
      <c r="N62" s="14">
        <f t="shared" si="0"/>
        <v>0.16997167138810196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"/>
      <c r="B63" s="1" t="s">
        <v>31</v>
      </c>
      <c r="C63" s="1" t="s">
        <v>32</v>
      </c>
      <c r="D63" s="1" t="s">
        <v>31</v>
      </c>
      <c r="E63" s="1">
        <v>7</v>
      </c>
      <c r="F63" s="1" t="s">
        <v>33</v>
      </c>
      <c r="G63" s="11">
        <v>242</v>
      </c>
      <c r="H63" s="8" t="s">
        <v>63</v>
      </c>
      <c r="I63" s="10" t="s">
        <v>55</v>
      </c>
      <c r="J63" s="8">
        <v>252</v>
      </c>
      <c r="K63" s="12">
        <v>0.24</v>
      </c>
      <c r="L63" s="12">
        <v>0.24</v>
      </c>
      <c r="M63" s="14">
        <f t="shared" si="1"/>
        <v>9.71266693646297E-2</v>
      </c>
      <c r="N63" s="14">
        <f t="shared" si="0"/>
        <v>9.71266693646297E-2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"/>
      <c r="B64" s="1" t="s">
        <v>31</v>
      </c>
      <c r="C64" s="1" t="s">
        <v>32</v>
      </c>
      <c r="D64" s="1" t="s">
        <v>31</v>
      </c>
      <c r="E64" s="1">
        <v>7</v>
      </c>
      <c r="F64" s="1" t="s">
        <v>33</v>
      </c>
      <c r="G64" s="11">
        <v>242</v>
      </c>
      <c r="H64" s="8" t="s">
        <v>67</v>
      </c>
      <c r="I64" s="10" t="s">
        <v>55</v>
      </c>
      <c r="J64" s="8">
        <v>253</v>
      </c>
      <c r="K64" s="12">
        <v>1.1400000000000001</v>
      </c>
      <c r="L64" s="12">
        <v>0.47</v>
      </c>
      <c r="M64" s="14">
        <f t="shared" si="1"/>
        <v>0.46135167948199113</v>
      </c>
      <c r="N64" s="14">
        <f t="shared" si="0"/>
        <v>0.19020639417239982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"/>
      <c r="B65" s="1" t="s">
        <v>31</v>
      </c>
      <c r="C65" s="1" t="s">
        <v>32</v>
      </c>
      <c r="D65" s="1" t="s">
        <v>31</v>
      </c>
      <c r="E65" s="1">
        <v>7</v>
      </c>
      <c r="F65" s="1" t="s">
        <v>33</v>
      </c>
      <c r="G65" s="11">
        <v>242</v>
      </c>
      <c r="H65" s="8" t="s">
        <v>65</v>
      </c>
      <c r="I65" s="10" t="s">
        <v>55</v>
      </c>
      <c r="J65" s="8">
        <v>262</v>
      </c>
      <c r="K65" s="12">
        <v>0.47</v>
      </c>
      <c r="L65" s="12">
        <v>0.45</v>
      </c>
      <c r="M65" s="14">
        <f t="shared" si="1"/>
        <v>0.19020639417239982</v>
      </c>
      <c r="N65" s="14">
        <f t="shared" si="0"/>
        <v>0.18211250505868071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"/>
      <c r="B66" s="1" t="s">
        <v>31</v>
      </c>
      <c r="C66" s="1" t="s">
        <v>32</v>
      </c>
      <c r="D66" s="1" t="s">
        <v>31</v>
      </c>
      <c r="E66" s="1">
        <v>7</v>
      </c>
      <c r="F66" s="1" t="s">
        <v>33</v>
      </c>
      <c r="G66" s="11">
        <v>242</v>
      </c>
      <c r="H66" s="8" t="s">
        <v>63</v>
      </c>
      <c r="I66" s="10" t="s">
        <v>55</v>
      </c>
      <c r="J66" s="8">
        <v>263</v>
      </c>
      <c r="K66" s="12">
        <v>0.23</v>
      </c>
      <c r="L66" s="12">
        <v>0.23</v>
      </c>
      <c r="M66" s="14">
        <f t="shared" si="1"/>
        <v>9.3079724807770131E-2</v>
      </c>
      <c r="N66" s="14">
        <f t="shared" si="0"/>
        <v>9.3079724807770131E-2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"/>
      <c r="B67" s="1" t="s">
        <v>31</v>
      </c>
      <c r="C67" s="1" t="s">
        <v>32</v>
      </c>
      <c r="D67" s="1" t="s">
        <v>31</v>
      </c>
      <c r="E67" s="1">
        <v>7</v>
      </c>
      <c r="F67" s="1" t="s">
        <v>33</v>
      </c>
      <c r="G67" s="11">
        <v>242</v>
      </c>
      <c r="H67" s="8" t="s">
        <v>63</v>
      </c>
      <c r="I67" s="10" t="s">
        <v>55</v>
      </c>
      <c r="J67" s="8">
        <v>264</v>
      </c>
      <c r="K67" s="12">
        <v>0.08</v>
      </c>
      <c r="L67" s="12">
        <v>0.08</v>
      </c>
      <c r="M67" s="14">
        <f t="shared" si="1"/>
        <v>3.2375556454876567E-2</v>
      </c>
      <c r="N67" s="14">
        <f t="shared" ref="N67:N71" si="2">L67/2.471</f>
        <v>3.2375556454876567E-2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"/>
      <c r="B68" s="1" t="s">
        <v>31</v>
      </c>
      <c r="C68" s="1" t="s">
        <v>32</v>
      </c>
      <c r="D68" s="1" t="s">
        <v>31</v>
      </c>
      <c r="E68" s="1">
        <v>7</v>
      </c>
      <c r="F68" s="1" t="s">
        <v>33</v>
      </c>
      <c r="G68" s="11">
        <v>242</v>
      </c>
      <c r="H68" s="8" t="s">
        <v>63</v>
      </c>
      <c r="I68" s="10" t="s">
        <v>55</v>
      </c>
      <c r="J68" s="8">
        <v>265</v>
      </c>
      <c r="K68" s="12">
        <v>0.47</v>
      </c>
      <c r="L68" s="13">
        <v>0.43</v>
      </c>
      <c r="M68" s="14">
        <f t="shared" ref="M68:M71" si="3">K68/2.471</f>
        <v>0.19020639417239982</v>
      </c>
      <c r="N68" s="14">
        <f t="shared" si="2"/>
        <v>0.17401861594496154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"/>
      <c r="B69" s="1" t="s">
        <v>31</v>
      </c>
      <c r="C69" s="1" t="s">
        <v>32</v>
      </c>
      <c r="D69" s="1" t="s">
        <v>31</v>
      </c>
      <c r="E69" s="1">
        <v>7</v>
      </c>
      <c r="F69" s="1" t="s">
        <v>33</v>
      </c>
      <c r="G69" s="11">
        <v>242</v>
      </c>
      <c r="H69" s="8" t="s">
        <v>63</v>
      </c>
      <c r="I69" s="10" t="s">
        <v>55</v>
      </c>
      <c r="J69" s="8">
        <v>266</v>
      </c>
      <c r="K69" s="12">
        <v>0.26</v>
      </c>
      <c r="L69" s="12">
        <v>0.05</v>
      </c>
      <c r="M69" s="14">
        <f t="shared" si="3"/>
        <v>0.10522055847834885</v>
      </c>
      <c r="N69" s="14">
        <f t="shared" si="2"/>
        <v>2.0234722784297856E-2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"/>
      <c r="B70" s="1" t="s">
        <v>31</v>
      </c>
      <c r="C70" s="1" t="s">
        <v>32</v>
      </c>
      <c r="D70" s="1" t="s">
        <v>31</v>
      </c>
      <c r="E70" s="1">
        <v>7</v>
      </c>
      <c r="F70" s="1" t="s">
        <v>33</v>
      </c>
      <c r="G70" s="11">
        <v>242</v>
      </c>
      <c r="H70" s="8" t="s">
        <v>67</v>
      </c>
      <c r="I70" s="10" t="s">
        <v>55</v>
      </c>
      <c r="J70" s="8" t="s">
        <v>51</v>
      </c>
      <c r="K70" s="12">
        <v>5.0999999999999996</v>
      </c>
      <c r="L70" s="12">
        <v>0.08</v>
      </c>
      <c r="M70" s="14">
        <f t="shared" si="3"/>
        <v>2.0639417239983811</v>
      </c>
      <c r="N70" s="14">
        <f t="shared" si="2"/>
        <v>3.2375556454876567E-2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"/>
      <c r="B71" s="1" t="s">
        <v>31</v>
      </c>
      <c r="C71" s="1" t="s">
        <v>32</v>
      </c>
      <c r="D71" s="1" t="s">
        <v>31</v>
      </c>
      <c r="E71" s="1">
        <v>7</v>
      </c>
      <c r="F71" s="1" t="s">
        <v>33</v>
      </c>
      <c r="G71" s="11">
        <v>242</v>
      </c>
      <c r="H71" s="8" t="s">
        <v>66</v>
      </c>
      <c r="I71" s="10" t="s">
        <v>55</v>
      </c>
      <c r="J71" s="8" t="s">
        <v>52</v>
      </c>
      <c r="K71" s="12">
        <v>1.1000000000000001</v>
      </c>
      <c r="L71" s="12">
        <v>0.01</v>
      </c>
      <c r="M71" s="14">
        <f t="shared" si="3"/>
        <v>0.44516390125455285</v>
      </c>
      <c r="N71" s="14">
        <f t="shared" si="2"/>
        <v>4.0469445568595708E-3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>
      <c r="F505"/>
      <c r="H505"/>
    </row>
    <row r="506" spans="1:32">
      <c r="F506"/>
      <c r="H506"/>
    </row>
    <row r="507" spans="1:32">
      <c r="F507"/>
      <c r="H507"/>
    </row>
    <row r="508" spans="1:32">
      <c r="F508"/>
      <c r="H508"/>
    </row>
    <row r="509" spans="1:32">
      <c r="F509"/>
      <c r="H509"/>
    </row>
    <row r="510" spans="1:32">
      <c r="F510"/>
      <c r="H510"/>
    </row>
    <row r="511" spans="1:32">
      <c r="F511"/>
      <c r="H511"/>
    </row>
    <row r="512" spans="1:32">
      <c r="F512"/>
      <c r="H512"/>
    </row>
    <row r="513" spans="6:8">
      <c r="F513"/>
      <c r="H513"/>
    </row>
    <row r="514" spans="6:8">
      <c r="F514"/>
      <c r="H514"/>
    </row>
    <row r="515" spans="6:8">
      <c r="F515"/>
      <c r="H515"/>
    </row>
    <row r="516" spans="6:8">
      <c r="F516"/>
      <c r="H516"/>
    </row>
    <row r="517" spans="6:8">
      <c r="F517"/>
      <c r="H517"/>
    </row>
    <row r="518" spans="6:8">
      <c r="F518"/>
      <c r="H518"/>
    </row>
    <row r="519" spans="6:8">
      <c r="F519"/>
      <c r="H519"/>
    </row>
    <row r="520" spans="6:8">
      <c r="F520"/>
      <c r="H520"/>
    </row>
    <row r="521" spans="6:8">
      <c r="F521"/>
      <c r="H521"/>
    </row>
    <row r="522" spans="6:8">
      <c r="F522"/>
      <c r="H522"/>
    </row>
    <row r="523" spans="6:8">
      <c r="F523"/>
      <c r="H523"/>
    </row>
    <row r="524" spans="6:8">
      <c r="F524"/>
      <c r="H524"/>
    </row>
    <row r="525" spans="6:8">
      <c r="F525"/>
      <c r="H525"/>
    </row>
    <row r="526" spans="6:8">
      <c r="F526"/>
      <c r="H526"/>
    </row>
    <row r="527" spans="6:8">
      <c r="F527"/>
      <c r="H527"/>
    </row>
    <row r="528" spans="6:8">
      <c r="F528"/>
      <c r="H528"/>
    </row>
    <row r="529" spans="6:8">
      <c r="F529"/>
      <c r="H529"/>
    </row>
    <row r="530" spans="6:8">
      <c r="F530"/>
      <c r="H530"/>
    </row>
    <row r="531" spans="6:8">
      <c r="F531"/>
      <c r="H531"/>
    </row>
    <row r="532" spans="6:8">
      <c r="F532"/>
      <c r="H532"/>
    </row>
    <row r="533" spans="6:8">
      <c r="F533"/>
      <c r="H533"/>
    </row>
    <row r="534" spans="6:8">
      <c r="F534"/>
      <c r="H534"/>
    </row>
    <row r="535" spans="6:8">
      <c r="F535"/>
      <c r="H535"/>
    </row>
    <row r="536" spans="6:8">
      <c r="F536"/>
      <c r="H536"/>
    </row>
    <row r="537" spans="6:8">
      <c r="F537"/>
      <c r="H537"/>
    </row>
    <row r="538" spans="6:8">
      <c r="F538"/>
      <c r="H538"/>
    </row>
    <row r="539" spans="6:8">
      <c r="F539"/>
      <c r="H539"/>
    </row>
    <row r="540" spans="6:8">
      <c r="F540"/>
      <c r="H540"/>
    </row>
    <row r="541" spans="6:8">
      <c r="F541"/>
      <c r="H541"/>
    </row>
    <row r="542" spans="6:8">
      <c r="F542"/>
      <c r="H542"/>
    </row>
    <row r="543" spans="6:8">
      <c r="F543"/>
      <c r="H543"/>
    </row>
    <row r="544" spans="6:8">
      <c r="F544"/>
      <c r="H544"/>
    </row>
    <row r="545" spans="6:8">
      <c r="F545"/>
      <c r="H545"/>
    </row>
    <row r="546" spans="6:8">
      <c r="F546"/>
      <c r="H546"/>
    </row>
    <row r="547" spans="6:8">
      <c r="F547"/>
      <c r="H547"/>
    </row>
    <row r="548" spans="6:8">
      <c r="F548"/>
      <c r="H548"/>
    </row>
    <row r="549" spans="6:8">
      <c r="F549"/>
      <c r="H549"/>
    </row>
    <row r="550" spans="6:8">
      <c r="F550"/>
      <c r="H550"/>
    </row>
    <row r="551" spans="6:8">
      <c r="F551"/>
      <c r="H551"/>
    </row>
    <row r="552" spans="6:8">
      <c r="F552"/>
      <c r="H552"/>
    </row>
    <row r="553" spans="6:8">
      <c r="F553"/>
      <c r="H553"/>
    </row>
    <row r="554" spans="6:8">
      <c r="F554"/>
      <c r="H554"/>
    </row>
    <row r="555" spans="6:8">
      <c r="F555"/>
      <c r="H555"/>
    </row>
    <row r="556" spans="6:8">
      <c r="F556"/>
      <c r="H556"/>
    </row>
    <row r="557" spans="6:8">
      <c r="F557"/>
      <c r="H557"/>
    </row>
    <row r="558" spans="6:8">
      <c r="F558"/>
      <c r="H558"/>
    </row>
    <row r="559" spans="6:8">
      <c r="F559"/>
      <c r="H559"/>
    </row>
    <row r="560" spans="6:8">
      <c r="F560"/>
      <c r="H560"/>
    </row>
    <row r="561" spans="6:8">
      <c r="F561"/>
      <c r="H561"/>
    </row>
    <row r="562" spans="6:8">
      <c r="F562"/>
      <c r="H562"/>
    </row>
    <row r="563" spans="6:8">
      <c r="F563"/>
      <c r="H563"/>
    </row>
    <row r="564" spans="6:8">
      <c r="F564"/>
      <c r="H564"/>
    </row>
    <row r="565" spans="6:8">
      <c r="F565"/>
      <c r="H565"/>
    </row>
    <row r="566" spans="6:8">
      <c r="F566"/>
      <c r="H566"/>
    </row>
    <row r="567" spans="6:8">
      <c r="F567"/>
      <c r="H567"/>
    </row>
    <row r="568" spans="6:8">
      <c r="F568"/>
      <c r="H568"/>
    </row>
    <row r="569" spans="6:8">
      <c r="F569"/>
      <c r="H569"/>
    </row>
    <row r="570" spans="6:8">
      <c r="F570"/>
      <c r="H570"/>
    </row>
    <row r="571" spans="6:8">
      <c r="F571"/>
      <c r="H571"/>
    </row>
    <row r="572" spans="6:8">
      <c r="F572"/>
      <c r="H572"/>
    </row>
    <row r="573" spans="6:8">
      <c r="F573"/>
      <c r="H573"/>
    </row>
    <row r="574" spans="6:8">
      <c r="F574"/>
      <c r="H574"/>
    </row>
    <row r="575" spans="6:8">
      <c r="F575"/>
      <c r="H575"/>
    </row>
    <row r="576" spans="6:8">
      <c r="F576"/>
      <c r="H576"/>
    </row>
    <row r="577" spans="6:8">
      <c r="F577"/>
      <c r="H577"/>
    </row>
    <row r="578" spans="6:8">
      <c r="F578"/>
      <c r="H578"/>
    </row>
    <row r="579" spans="6:8">
      <c r="F579"/>
      <c r="H579"/>
    </row>
    <row r="580" spans="6:8">
      <c r="F580"/>
      <c r="H580"/>
    </row>
    <row r="581" spans="6:8">
      <c r="F581"/>
      <c r="H581"/>
    </row>
    <row r="582" spans="6:8">
      <c r="F582"/>
      <c r="H582"/>
    </row>
    <row r="583" spans="6:8">
      <c r="F583"/>
      <c r="H583"/>
    </row>
    <row r="584" spans="6:8">
      <c r="F584"/>
      <c r="H584"/>
    </row>
    <row r="585" spans="6:8">
      <c r="F585"/>
      <c r="H585"/>
    </row>
    <row r="586" spans="6:8">
      <c r="F586"/>
      <c r="H586"/>
    </row>
    <row r="587" spans="6:8">
      <c r="F587"/>
      <c r="H587"/>
    </row>
    <row r="588" spans="6:8">
      <c r="F588"/>
      <c r="H588"/>
    </row>
    <row r="589" spans="6:8">
      <c r="F589"/>
      <c r="H589"/>
    </row>
    <row r="590" spans="6:8">
      <c r="F590"/>
      <c r="H590"/>
    </row>
    <row r="591" spans="6:8">
      <c r="F591"/>
      <c r="H591"/>
    </row>
    <row r="592" spans="6:8">
      <c r="F592"/>
      <c r="H592"/>
    </row>
    <row r="593" spans="6:8">
      <c r="F593"/>
      <c r="H593"/>
    </row>
    <row r="594" spans="6:8">
      <c r="F594"/>
      <c r="H594"/>
    </row>
    <row r="595" spans="6:8">
      <c r="F595"/>
      <c r="H595"/>
    </row>
    <row r="596" spans="6:8">
      <c r="F596"/>
      <c r="H596"/>
    </row>
    <row r="597" spans="6:8">
      <c r="F597"/>
      <c r="H597"/>
    </row>
    <row r="598" spans="6:8">
      <c r="F598"/>
      <c r="H598"/>
    </row>
    <row r="599" spans="6:8">
      <c r="F599"/>
      <c r="H599"/>
    </row>
    <row r="600" spans="6:8">
      <c r="F600"/>
      <c r="H600"/>
    </row>
    <row r="601" spans="6:8">
      <c r="F601"/>
      <c r="H601"/>
    </row>
    <row r="602" spans="6:8">
      <c r="F602"/>
      <c r="H602"/>
    </row>
    <row r="603" spans="6:8">
      <c r="F603"/>
      <c r="H603"/>
    </row>
    <row r="604" spans="6:8">
      <c r="F604"/>
      <c r="H604"/>
    </row>
    <row r="605" spans="6:8">
      <c r="F605"/>
      <c r="H605"/>
    </row>
    <row r="606" spans="6:8">
      <c r="F606"/>
      <c r="H606"/>
    </row>
    <row r="607" spans="6:8">
      <c r="F607"/>
      <c r="H607"/>
    </row>
    <row r="608" spans="6:8">
      <c r="F608"/>
      <c r="H608"/>
    </row>
    <row r="609" spans="6:8">
      <c r="F609"/>
      <c r="H609"/>
    </row>
    <row r="610" spans="6:8">
      <c r="F610"/>
      <c r="H610"/>
    </row>
    <row r="611" spans="6:8">
      <c r="F611"/>
      <c r="H611"/>
    </row>
    <row r="612" spans="6:8">
      <c r="F612"/>
      <c r="H612"/>
    </row>
    <row r="613" spans="6:8">
      <c r="F613"/>
      <c r="H613"/>
    </row>
    <row r="614" spans="6:8">
      <c r="F614"/>
      <c r="H614"/>
    </row>
    <row r="615" spans="6:8">
      <c r="F615"/>
      <c r="H615"/>
    </row>
    <row r="616" spans="6:8">
      <c r="F616"/>
      <c r="H616"/>
    </row>
    <row r="617" spans="6:8">
      <c r="F617"/>
      <c r="H617"/>
    </row>
    <row r="618" spans="6:8">
      <c r="F618"/>
      <c r="H618"/>
    </row>
    <row r="619" spans="6:8">
      <c r="F619"/>
      <c r="H619"/>
    </row>
    <row r="620" spans="6:8">
      <c r="F620"/>
      <c r="H620"/>
    </row>
    <row r="621" spans="6:8">
      <c r="F621"/>
      <c r="H621"/>
    </row>
    <row r="622" spans="6:8">
      <c r="F622"/>
      <c r="H622"/>
    </row>
    <row r="623" spans="6:8">
      <c r="F623"/>
      <c r="H623"/>
    </row>
    <row r="624" spans="6:8">
      <c r="F624"/>
      <c r="H624"/>
    </row>
    <row r="625" spans="6:8">
      <c r="F625"/>
      <c r="H625"/>
    </row>
    <row r="626" spans="6:8">
      <c r="F626"/>
      <c r="H626"/>
    </row>
    <row r="627" spans="6:8">
      <c r="F627"/>
      <c r="H627"/>
    </row>
    <row r="628" spans="6:8">
      <c r="F628"/>
      <c r="H628"/>
    </row>
    <row r="629" spans="6:8">
      <c r="F629"/>
      <c r="H629"/>
    </row>
    <row r="630" spans="6:8">
      <c r="F630"/>
      <c r="H630"/>
    </row>
    <row r="631" spans="6:8">
      <c r="F631"/>
      <c r="H631"/>
    </row>
    <row r="632" spans="6:8">
      <c r="F632"/>
      <c r="H632"/>
    </row>
    <row r="633" spans="6:8">
      <c r="F633"/>
      <c r="H633"/>
    </row>
    <row r="634" spans="6:8">
      <c r="F634"/>
      <c r="H634"/>
    </row>
    <row r="635" spans="6:8">
      <c r="F635"/>
      <c r="H635"/>
    </row>
    <row r="636" spans="6:8">
      <c r="F636"/>
      <c r="H636"/>
    </row>
    <row r="637" spans="6:8">
      <c r="F637"/>
      <c r="H637"/>
    </row>
    <row r="638" spans="6:8">
      <c r="F638"/>
      <c r="H638"/>
    </row>
    <row r="639" spans="6:8">
      <c r="F639"/>
      <c r="H639"/>
    </row>
    <row r="640" spans="6:8">
      <c r="F640"/>
      <c r="H640"/>
    </row>
    <row r="641" spans="6:8">
      <c r="F641"/>
      <c r="H641"/>
    </row>
    <row r="642" spans="6:8">
      <c r="F642"/>
      <c r="H642"/>
    </row>
    <row r="643" spans="6:8">
      <c r="F643"/>
      <c r="H643"/>
    </row>
    <row r="644" spans="6:8">
      <c r="F644"/>
      <c r="H644"/>
    </row>
    <row r="645" spans="6:8">
      <c r="F645"/>
      <c r="H645"/>
    </row>
    <row r="646" spans="6:8">
      <c r="F646"/>
      <c r="H646"/>
    </row>
    <row r="647" spans="6:8">
      <c r="F647"/>
      <c r="H647"/>
    </row>
    <row r="648" spans="6:8">
      <c r="F648"/>
      <c r="H648"/>
    </row>
    <row r="649" spans="6:8">
      <c r="F649"/>
      <c r="H649"/>
    </row>
    <row r="650" spans="6:8">
      <c r="F650"/>
      <c r="H650"/>
    </row>
    <row r="651" spans="6:8">
      <c r="F651"/>
      <c r="H651"/>
    </row>
    <row r="652" spans="6:8">
      <c r="F652"/>
      <c r="H652"/>
    </row>
    <row r="653" spans="6:8">
      <c r="F653"/>
      <c r="H653"/>
    </row>
    <row r="654" spans="6:8">
      <c r="F654"/>
      <c r="H654"/>
    </row>
    <row r="655" spans="6:8">
      <c r="F655"/>
      <c r="H655"/>
    </row>
    <row r="656" spans="6:8">
      <c r="F656"/>
      <c r="H656"/>
    </row>
    <row r="657" spans="6:8">
      <c r="F657"/>
      <c r="H657"/>
    </row>
    <row r="658" spans="6:8">
      <c r="F658"/>
      <c r="H658"/>
    </row>
    <row r="659" spans="6:8">
      <c r="F659"/>
      <c r="H659"/>
    </row>
    <row r="660" spans="6:8">
      <c r="F660"/>
      <c r="H660"/>
    </row>
    <row r="661" spans="6:8">
      <c r="F661"/>
      <c r="H661"/>
    </row>
    <row r="662" spans="6:8">
      <c r="F662"/>
      <c r="H662"/>
    </row>
    <row r="663" spans="6:8">
      <c r="F663"/>
      <c r="H663"/>
    </row>
    <row r="664" spans="6:8">
      <c r="F664"/>
      <c r="H664"/>
    </row>
    <row r="665" spans="6:8">
      <c r="F665"/>
      <c r="H665"/>
    </row>
    <row r="666" spans="6:8">
      <c r="F666"/>
      <c r="H666"/>
    </row>
    <row r="667" spans="6:8">
      <c r="F667"/>
      <c r="H667"/>
    </row>
    <row r="668" spans="6:8">
      <c r="F668"/>
      <c r="H668"/>
    </row>
    <row r="669" spans="6:8">
      <c r="F669"/>
      <c r="H669"/>
    </row>
    <row r="670" spans="6:8">
      <c r="F670"/>
      <c r="H670"/>
    </row>
    <row r="671" spans="6:8">
      <c r="F671"/>
      <c r="H671"/>
    </row>
    <row r="672" spans="6:8">
      <c r="F672"/>
      <c r="H672"/>
    </row>
    <row r="673" spans="6:8">
      <c r="F673"/>
      <c r="H673"/>
    </row>
    <row r="674" spans="6:8">
      <c r="F674"/>
      <c r="H674"/>
    </row>
    <row r="675" spans="6:8">
      <c r="F675"/>
      <c r="H675"/>
    </row>
    <row r="676" spans="6:8">
      <c r="F676"/>
      <c r="H676"/>
    </row>
    <row r="677" spans="6:8">
      <c r="F677"/>
      <c r="H677"/>
    </row>
    <row r="678" spans="6:8">
      <c r="F678"/>
      <c r="H678"/>
    </row>
    <row r="679" spans="6:8">
      <c r="F679"/>
      <c r="H679"/>
    </row>
    <row r="680" spans="6:8">
      <c r="F680"/>
      <c r="H680"/>
    </row>
    <row r="681" spans="6:8">
      <c r="F681"/>
      <c r="H681"/>
    </row>
    <row r="682" spans="6:8">
      <c r="F682"/>
      <c r="H682"/>
    </row>
    <row r="683" spans="6:8">
      <c r="F683"/>
      <c r="H683"/>
    </row>
    <row r="684" spans="6:8">
      <c r="F684"/>
      <c r="H684"/>
    </row>
    <row r="685" spans="6:8">
      <c r="F685"/>
      <c r="H685"/>
    </row>
    <row r="686" spans="6:8">
      <c r="F686"/>
      <c r="H686"/>
    </row>
    <row r="687" spans="6:8">
      <c r="F687"/>
      <c r="H687"/>
    </row>
    <row r="688" spans="6:8">
      <c r="F688"/>
      <c r="H688"/>
    </row>
    <row r="689" spans="6:8">
      <c r="F689"/>
      <c r="H689"/>
    </row>
    <row r="690" spans="6:8">
      <c r="F690"/>
      <c r="H690"/>
    </row>
    <row r="691" spans="6:8">
      <c r="F691"/>
      <c r="H691"/>
    </row>
    <row r="692" spans="6:8">
      <c r="F692"/>
      <c r="H692"/>
    </row>
    <row r="693" spans="6:8">
      <c r="F693"/>
      <c r="H693"/>
    </row>
    <row r="694" spans="6:8">
      <c r="F694"/>
      <c r="H694"/>
    </row>
    <row r="695" spans="6:8">
      <c r="F695"/>
      <c r="H695"/>
    </row>
    <row r="696" spans="6:8">
      <c r="F696"/>
      <c r="H696"/>
    </row>
    <row r="697" spans="6:8">
      <c r="F697"/>
      <c r="H697"/>
    </row>
    <row r="698" spans="6:8">
      <c r="F698"/>
      <c r="H698"/>
    </row>
    <row r="699" spans="6:8">
      <c r="F699"/>
      <c r="H699"/>
    </row>
    <row r="700" spans="6:8">
      <c r="F700"/>
      <c r="H700"/>
    </row>
    <row r="701" spans="6:8">
      <c r="F701"/>
      <c r="H701"/>
    </row>
    <row r="702" spans="6:8">
      <c r="F702"/>
      <c r="H702"/>
    </row>
    <row r="703" spans="6:8">
      <c r="F703"/>
      <c r="H703"/>
    </row>
    <row r="704" spans="6:8">
      <c r="F704"/>
      <c r="H704"/>
    </row>
    <row r="705" spans="6:8">
      <c r="F705"/>
      <c r="H705"/>
    </row>
    <row r="706" spans="6:8">
      <c r="F706"/>
      <c r="H706"/>
    </row>
    <row r="707" spans="6:8">
      <c r="F707"/>
      <c r="H707"/>
    </row>
    <row r="708" spans="6:8">
      <c r="F708"/>
      <c r="H708"/>
    </row>
    <row r="709" spans="6:8">
      <c r="F709"/>
      <c r="H709"/>
    </row>
    <row r="710" spans="6:8">
      <c r="F710"/>
      <c r="H710"/>
    </row>
    <row r="711" spans="6:8">
      <c r="F711"/>
      <c r="H711"/>
    </row>
    <row r="712" spans="6:8">
      <c r="F712"/>
      <c r="H712"/>
    </row>
    <row r="713" spans="6:8">
      <c r="F713"/>
      <c r="H713"/>
    </row>
    <row r="714" spans="6:8">
      <c r="F714"/>
      <c r="H714"/>
    </row>
    <row r="715" spans="6:8">
      <c r="F715"/>
      <c r="H715"/>
    </row>
    <row r="716" spans="6:8">
      <c r="F716"/>
      <c r="H716"/>
    </row>
    <row r="717" spans="6:8">
      <c r="F717"/>
      <c r="H717"/>
    </row>
    <row r="718" spans="6:8">
      <c r="F718"/>
      <c r="H718"/>
    </row>
    <row r="719" spans="6:8">
      <c r="F719"/>
      <c r="H719"/>
    </row>
    <row r="720" spans="6:8">
      <c r="F720"/>
      <c r="H720"/>
    </row>
    <row r="721" spans="6:8">
      <c r="F721"/>
      <c r="H721"/>
    </row>
    <row r="722" spans="6:8">
      <c r="F722"/>
      <c r="H722"/>
    </row>
    <row r="723" spans="6:8">
      <c r="F723"/>
      <c r="H723"/>
    </row>
    <row r="724" spans="6:8">
      <c r="F724"/>
      <c r="H724"/>
    </row>
    <row r="725" spans="6:8">
      <c r="F725"/>
      <c r="H725"/>
    </row>
    <row r="726" spans="6:8">
      <c r="F726"/>
      <c r="H726"/>
    </row>
    <row r="727" spans="6:8">
      <c r="F727"/>
      <c r="H727"/>
    </row>
    <row r="728" spans="6:8">
      <c r="F728"/>
      <c r="H728"/>
    </row>
    <row r="729" spans="6:8">
      <c r="F729"/>
      <c r="H729"/>
    </row>
    <row r="730" spans="6:8">
      <c r="F730"/>
      <c r="H730"/>
    </row>
    <row r="731" spans="6:8">
      <c r="F731"/>
      <c r="H731"/>
    </row>
    <row r="732" spans="6:8">
      <c r="F732"/>
      <c r="H732"/>
    </row>
    <row r="733" spans="6:8">
      <c r="F733"/>
      <c r="H733"/>
    </row>
    <row r="734" spans="6:8">
      <c r="F734"/>
      <c r="H734"/>
    </row>
    <row r="735" spans="6:8">
      <c r="F735"/>
      <c r="H735"/>
    </row>
    <row r="736" spans="6:8">
      <c r="F736"/>
      <c r="H736"/>
    </row>
    <row r="737" spans="6:8">
      <c r="F737"/>
      <c r="H737"/>
    </row>
    <row r="738" spans="6:8">
      <c r="F738"/>
      <c r="H738"/>
    </row>
    <row r="739" spans="6:8">
      <c r="F739"/>
      <c r="H739"/>
    </row>
    <row r="740" spans="6:8">
      <c r="F740"/>
      <c r="H740"/>
    </row>
    <row r="741" spans="6:8">
      <c r="F741"/>
      <c r="H741"/>
    </row>
    <row r="742" spans="6:8">
      <c r="F742"/>
      <c r="H742"/>
    </row>
    <row r="743" spans="6:8">
      <c r="F743"/>
      <c r="H743"/>
    </row>
    <row r="744" spans="6:8">
      <c r="F744"/>
      <c r="H744"/>
    </row>
    <row r="745" spans="6:8">
      <c r="F745"/>
      <c r="H745"/>
    </row>
    <row r="746" spans="6:8">
      <c r="F746"/>
      <c r="H746"/>
    </row>
    <row r="747" spans="6:8">
      <c r="F747"/>
      <c r="H747"/>
    </row>
    <row r="748" spans="6:8">
      <c r="F748"/>
      <c r="H748"/>
    </row>
    <row r="749" spans="6:8">
      <c r="F749"/>
      <c r="H749"/>
    </row>
    <row r="750" spans="6:8">
      <c r="F750"/>
      <c r="H750"/>
    </row>
    <row r="751" spans="6:8">
      <c r="F751"/>
      <c r="H751"/>
    </row>
    <row r="752" spans="6:8">
      <c r="F752"/>
      <c r="H752"/>
    </row>
    <row r="753" spans="6:8">
      <c r="F753"/>
      <c r="H753"/>
    </row>
    <row r="754" spans="6:8">
      <c r="F754"/>
      <c r="H754"/>
    </row>
    <row r="755" spans="6:8">
      <c r="F755"/>
      <c r="H755"/>
    </row>
    <row r="756" spans="6:8">
      <c r="F756"/>
      <c r="H756"/>
    </row>
    <row r="757" spans="6:8">
      <c r="F757"/>
      <c r="H757"/>
    </row>
    <row r="758" spans="6:8">
      <c r="F758"/>
      <c r="H758"/>
    </row>
    <row r="759" spans="6:8">
      <c r="F759"/>
      <c r="H759"/>
    </row>
    <row r="760" spans="6:8">
      <c r="F760"/>
      <c r="H760"/>
    </row>
    <row r="761" spans="6:8">
      <c r="F761"/>
      <c r="H761"/>
    </row>
    <row r="762" spans="6:8">
      <c r="F762"/>
      <c r="H762"/>
    </row>
    <row r="763" spans="6:8">
      <c r="F763"/>
      <c r="H763"/>
    </row>
    <row r="764" spans="6:8">
      <c r="F764"/>
      <c r="H764"/>
    </row>
    <row r="765" spans="6:8">
      <c r="F765"/>
      <c r="H765"/>
    </row>
    <row r="766" spans="6:8">
      <c r="F766"/>
      <c r="H766"/>
    </row>
    <row r="767" spans="6:8">
      <c r="F767"/>
      <c r="H767"/>
    </row>
    <row r="768" spans="6:8">
      <c r="F768"/>
      <c r="H768"/>
    </row>
    <row r="769" spans="6:8">
      <c r="F769"/>
      <c r="H769"/>
    </row>
    <row r="770" spans="6:8">
      <c r="F770"/>
      <c r="H770"/>
    </row>
    <row r="771" spans="6:8">
      <c r="F771"/>
      <c r="H771"/>
    </row>
    <row r="772" spans="6:8">
      <c r="F772"/>
      <c r="H772"/>
    </row>
    <row r="773" spans="6:8">
      <c r="F773"/>
      <c r="H773"/>
    </row>
    <row r="774" spans="6:8">
      <c r="F774"/>
      <c r="H774"/>
    </row>
    <row r="775" spans="6:8">
      <c r="F775"/>
      <c r="H775"/>
    </row>
    <row r="776" spans="6:8">
      <c r="F776"/>
      <c r="H776"/>
    </row>
    <row r="777" spans="6:8">
      <c r="F777"/>
      <c r="H777"/>
    </row>
    <row r="778" spans="6:8">
      <c r="F778"/>
      <c r="H778"/>
    </row>
    <row r="779" spans="6:8">
      <c r="F779"/>
      <c r="H779"/>
    </row>
    <row r="780" spans="6:8">
      <c r="F780"/>
      <c r="H780"/>
    </row>
    <row r="781" spans="6:8">
      <c r="F781"/>
      <c r="H781"/>
    </row>
    <row r="782" spans="6:8">
      <c r="F782"/>
      <c r="H782"/>
    </row>
    <row r="783" spans="6:8">
      <c r="F783"/>
      <c r="H783"/>
    </row>
    <row r="784" spans="6:8">
      <c r="F784"/>
      <c r="H784"/>
    </row>
    <row r="785" spans="6:8">
      <c r="F785"/>
      <c r="H785"/>
    </row>
    <row r="786" spans="6:8">
      <c r="F786"/>
      <c r="H786"/>
    </row>
    <row r="787" spans="6:8">
      <c r="F787"/>
      <c r="H787"/>
    </row>
    <row r="788" spans="6:8">
      <c r="F788"/>
      <c r="H788"/>
    </row>
    <row r="789" spans="6:8">
      <c r="F789"/>
      <c r="H789"/>
    </row>
    <row r="790" spans="6:8">
      <c r="F790"/>
      <c r="H790"/>
    </row>
    <row r="791" spans="6:8">
      <c r="F791"/>
      <c r="H791"/>
    </row>
    <row r="792" spans="6:8">
      <c r="F792"/>
      <c r="H792"/>
    </row>
    <row r="793" spans="6:8">
      <c r="F793"/>
      <c r="H793"/>
    </row>
    <row r="794" spans="6:8">
      <c r="F794"/>
      <c r="H794"/>
    </row>
    <row r="795" spans="6:8">
      <c r="F795"/>
      <c r="H795"/>
    </row>
    <row r="796" spans="6:8">
      <c r="F796"/>
      <c r="H796"/>
    </row>
    <row r="797" spans="6:8">
      <c r="F797"/>
      <c r="H797"/>
    </row>
    <row r="798" spans="6:8">
      <c r="F798"/>
      <c r="H798"/>
    </row>
    <row r="799" spans="6:8">
      <c r="F799"/>
      <c r="H799"/>
    </row>
    <row r="800" spans="6:8">
      <c r="F800"/>
      <c r="H800"/>
    </row>
    <row r="801" spans="6:8">
      <c r="F801"/>
      <c r="H801"/>
    </row>
    <row r="802" spans="6:8">
      <c r="F802"/>
      <c r="H802"/>
    </row>
    <row r="803" spans="6:8">
      <c r="F803"/>
      <c r="H803"/>
    </row>
    <row r="804" spans="6:8">
      <c r="F804"/>
      <c r="H804"/>
    </row>
    <row r="805" spans="6:8">
      <c r="F805"/>
      <c r="H805"/>
    </row>
    <row r="806" spans="6:8">
      <c r="F806"/>
      <c r="H806"/>
    </row>
    <row r="807" spans="6:8">
      <c r="F807"/>
      <c r="H807"/>
    </row>
    <row r="808" spans="6:8">
      <c r="F808"/>
      <c r="H808"/>
    </row>
    <row r="809" spans="6:8">
      <c r="F809"/>
      <c r="H809"/>
    </row>
    <row r="810" spans="6:8">
      <c r="F810"/>
      <c r="H810"/>
    </row>
    <row r="811" spans="6:8">
      <c r="F811"/>
      <c r="H811"/>
    </row>
    <row r="812" spans="6:8">
      <c r="F812"/>
      <c r="H812"/>
    </row>
    <row r="813" spans="6:8">
      <c r="F813"/>
      <c r="H813"/>
    </row>
    <row r="814" spans="6:8">
      <c r="F814"/>
      <c r="H814"/>
    </row>
    <row r="815" spans="6:8">
      <c r="F815"/>
      <c r="H815"/>
    </row>
    <row r="816" spans="6:8">
      <c r="F816"/>
      <c r="H816"/>
    </row>
    <row r="817" spans="6:8">
      <c r="F817"/>
      <c r="H817"/>
    </row>
    <row r="818" spans="6:8">
      <c r="F818"/>
      <c r="H818"/>
    </row>
    <row r="819" spans="6:8">
      <c r="F819"/>
      <c r="H819"/>
    </row>
    <row r="820" spans="6:8">
      <c r="F820"/>
      <c r="H820"/>
    </row>
    <row r="821" spans="6:8">
      <c r="F821"/>
      <c r="H821"/>
    </row>
    <row r="822" spans="6:8">
      <c r="F822"/>
      <c r="H822"/>
    </row>
    <row r="823" spans="6:8">
      <c r="F823"/>
      <c r="H823"/>
    </row>
    <row r="824" spans="6:8">
      <c r="F824"/>
      <c r="H824"/>
    </row>
    <row r="825" spans="6:8">
      <c r="F825"/>
      <c r="H825"/>
    </row>
    <row r="826" spans="6:8">
      <c r="F826"/>
      <c r="H826"/>
    </row>
    <row r="827" spans="6:8">
      <c r="F827"/>
      <c r="H827"/>
    </row>
    <row r="828" spans="6:8">
      <c r="F828"/>
      <c r="H828"/>
    </row>
    <row r="829" spans="6:8">
      <c r="F829"/>
      <c r="H829"/>
    </row>
    <row r="830" spans="6:8">
      <c r="F830"/>
      <c r="H830"/>
    </row>
    <row r="831" spans="6:8">
      <c r="F831"/>
      <c r="H831"/>
    </row>
    <row r="832" spans="6:8">
      <c r="F832"/>
      <c r="H832"/>
    </row>
    <row r="833" spans="6:8">
      <c r="F833"/>
      <c r="H833"/>
    </row>
    <row r="834" spans="6:8">
      <c r="F834"/>
      <c r="H834"/>
    </row>
    <row r="835" spans="6:8">
      <c r="F835"/>
      <c r="H835"/>
    </row>
    <row r="836" spans="6:8">
      <c r="F836"/>
      <c r="H836"/>
    </row>
    <row r="837" spans="6:8">
      <c r="F837"/>
      <c r="H837"/>
    </row>
    <row r="838" spans="6:8">
      <c r="F838"/>
      <c r="H838"/>
    </row>
    <row r="839" spans="6:8">
      <c r="F839"/>
      <c r="H839"/>
    </row>
    <row r="840" spans="6:8">
      <c r="F840"/>
      <c r="H840"/>
    </row>
    <row r="841" spans="6:8">
      <c r="F841"/>
      <c r="H841"/>
    </row>
    <row r="842" spans="6:8">
      <c r="F842"/>
      <c r="H842"/>
    </row>
    <row r="843" spans="6:8">
      <c r="F843"/>
      <c r="H843"/>
    </row>
    <row r="844" spans="6:8">
      <c r="F844"/>
      <c r="H844"/>
    </row>
    <row r="845" spans="6:8">
      <c r="F845"/>
      <c r="H845"/>
    </row>
    <row r="846" spans="6:8">
      <c r="F846"/>
      <c r="H846"/>
    </row>
    <row r="847" spans="6:8">
      <c r="F847"/>
      <c r="H847"/>
    </row>
    <row r="848" spans="6:8">
      <c r="F848"/>
      <c r="H848"/>
    </row>
    <row r="849" spans="6:8">
      <c r="F849"/>
      <c r="H849"/>
    </row>
    <row r="850" spans="6:8">
      <c r="F850"/>
      <c r="H850"/>
    </row>
    <row r="851" spans="6:8">
      <c r="F851"/>
      <c r="H851"/>
    </row>
    <row r="852" spans="6:8">
      <c r="F852"/>
      <c r="H852"/>
    </row>
    <row r="853" spans="6:8">
      <c r="F853"/>
      <c r="H853"/>
    </row>
    <row r="854" spans="6:8">
      <c r="F854"/>
      <c r="H854"/>
    </row>
    <row r="855" spans="6:8">
      <c r="F855"/>
      <c r="H855"/>
    </row>
    <row r="856" spans="6:8">
      <c r="F856"/>
      <c r="H856"/>
    </row>
    <row r="857" spans="6:8">
      <c r="F857"/>
      <c r="H857"/>
    </row>
    <row r="858" spans="6:8">
      <c r="F858"/>
      <c r="H858"/>
    </row>
    <row r="859" spans="6:8">
      <c r="F859"/>
      <c r="H859"/>
    </row>
    <row r="860" spans="6:8">
      <c r="F860"/>
      <c r="H860"/>
    </row>
    <row r="861" spans="6:8">
      <c r="F861"/>
      <c r="H861"/>
    </row>
    <row r="862" spans="6:8">
      <c r="F862"/>
      <c r="H862"/>
    </row>
    <row r="863" spans="6:8">
      <c r="F863"/>
      <c r="H863"/>
    </row>
    <row r="864" spans="6:8">
      <c r="F864"/>
      <c r="H864"/>
    </row>
    <row r="865" spans="6:8">
      <c r="F865"/>
      <c r="H865"/>
    </row>
    <row r="866" spans="6:8">
      <c r="F866"/>
      <c r="H866"/>
    </row>
    <row r="867" spans="6:8">
      <c r="F867"/>
      <c r="H867"/>
    </row>
    <row r="868" spans="6:8">
      <c r="F868"/>
      <c r="H868"/>
    </row>
    <row r="869" spans="6:8">
      <c r="F869"/>
      <c r="H869"/>
    </row>
    <row r="870" spans="6:8">
      <c r="F870"/>
      <c r="H870"/>
    </row>
    <row r="871" spans="6:8">
      <c r="F871"/>
      <c r="H871"/>
    </row>
    <row r="872" spans="6:8">
      <c r="F872"/>
      <c r="H872"/>
    </row>
    <row r="873" spans="6:8">
      <c r="F873"/>
      <c r="H873"/>
    </row>
    <row r="874" spans="6:8">
      <c r="F874"/>
      <c r="H874"/>
    </row>
    <row r="875" spans="6:8">
      <c r="F875"/>
      <c r="H875"/>
    </row>
    <row r="876" spans="6:8">
      <c r="F876"/>
      <c r="H876"/>
    </row>
    <row r="877" spans="6:8">
      <c r="F877"/>
      <c r="H877"/>
    </row>
    <row r="878" spans="6:8">
      <c r="F878"/>
      <c r="H878"/>
    </row>
    <row r="879" spans="6:8">
      <c r="F879"/>
      <c r="H879"/>
    </row>
    <row r="880" spans="6:8">
      <c r="F880"/>
      <c r="H880"/>
    </row>
    <row r="881" spans="6:8">
      <c r="F881"/>
      <c r="H881"/>
    </row>
    <row r="882" spans="6:8">
      <c r="F882"/>
      <c r="H882"/>
    </row>
    <row r="883" spans="6:8">
      <c r="F883"/>
      <c r="H883"/>
    </row>
    <row r="884" spans="6:8">
      <c r="F884"/>
      <c r="H884"/>
    </row>
    <row r="885" spans="6:8">
      <c r="F885"/>
      <c r="H885"/>
    </row>
    <row r="886" spans="6:8">
      <c r="F886"/>
      <c r="H886"/>
    </row>
    <row r="887" spans="6:8">
      <c r="F887"/>
      <c r="H887"/>
    </row>
    <row r="888" spans="6:8">
      <c r="F888"/>
      <c r="H888"/>
    </row>
    <row r="889" spans="6:8">
      <c r="F889"/>
      <c r="H889"/>
    </row>
    <row r="890" spans="6:8">
      <c r="F890"/>
      <c r="H890"/>
    </row>
    <row r="891" spans="6:8">
      <c r="F891"/>
      <c r="H891"/>
    </row>
    <row r="892" spans="6:8">
      <c r="F892"/>
      <c r="H892"/>
    </row>
    <row r="893" spans="6:8">
      <c r="F893"/>
      <c r="H893"/>
    </row>
    <row r="894" spans="6:8">
      <c r="F894"/>
      <c r="H894"/>
    </row>
    <row r="895" spans="6:8">
      <c r="F895"/>
      <c r="H895"/>
    </row>
    <row r="896" spans="6:8">
      <c r="F896"/>
      <c r="H896"/>
    </row>
    <row r="897" spans="6:8">
      <c r="F897"/>
      <c r="H897"/>
    </row>
    <row r="898" spans="6:8">
      <c r="F898"/>
      <c r="H898"/>
    </row>
    <row r="899" spans="6:8">
      <c r="F899"/>
      <c r="H899"/>
    </row>
    <row r="900" spans="6:8">
      <c r="F900"/>
      <c r="H900"/>
    </row>
    <row r="901" spans="6:8">
      <c r="F901"/>
      <c r="H901"/>
    </row>
    <row r="902" spans="6:8">
      <c r="F902"/>
      <c r="H902"/>
    </row>
    <row r="903" spans="6:8">
      <c r="F903"/>
      <c r="H903"/>
    </row>
    <row r="904" spans="6:8">
      <c r="F904"/>
      <c r="H904"/>
    </row>
    <row r="905" spans="6:8">
      <c r="F905"/>
      <c r="H905"/>
    </row>
    <row r="906" spans="6:8">
      <c r="F906"/>
      <c r="H906"/>
    </row>
    <row r="907" spans="6:8">
      <c r="F907"/>
      <c r="H907"/>
    </row>
    <row r="908" spans="6:8">
      <c r="F908"/>
      <c r="H908"/>
    </row>
    <row r="909" spans="6:8">
      <c r="F909"/>
      <c r="H909"/>
    </row>
    <row r="910" spans="6:8">
      <c r="F910"/>
      <c r="H910"/>
    </row>
    <row r="911" spans="6:8">
      <c r="F911"/>
      <c r="H911"/>
    </row>
    <row r="912" spans="6:8">
      <c r="F912"/>
      <c r="H912"/>
    </row>
    <row r="913" spans="6:8">
      <c r="F913"/>
      <c r="H913"/>
    </row>
    <row r="914" spans="6:8">
      <c r="F914"/>
      <c r="H914"/>
    </row>
    <row r="915" spans="6:8">
      <c r="F915"/>
      <c r="H915"/>
    </row>
    <row r="916" spans="6:8">
      <c r="F916"/>
      <c r="H916"/>
    </row>
    <row r="917" spans="6:8">
      <c r="F917"/>
      <c r="H917"/>
    </row>
    <row r="918" spans="6:8">
      <c r="F918"/>
      <c r="H918"/>
    </row>
    <row r="919" spans="6:8">
      <c r="F919"/>
      <c r="H919"/>
    </row>
    <row r="920" spans="6:8">
      <c r="F920"/>
      <c r="H920"/>
    </row>
    <row r="921" spans="6:8">
      <c r="F921"/>
      <c r="H921"/>
    </row>
    <row r="922" spans="6:8">
      <c r="F922"/>
      <c r="H922"/>
    </row>
    <row r="923" spans="6:8">
      <c r="F923"/>
      <c r="H923"/>
    </row>
    <row r="924" spans="6:8">
      <c r="F924"/>
      <c r="H924"/>
    </row>
    <row r="925" spans="6:8">
      <c r="F925"/>
      <c r="H925"/>
    </row>
    <row r="926" spans="6:8">
      <c r="F926"/>
      <c r="H926"/>
    </row>
    <row r="927" spans="6:8">
      <c r="F927"/>
      <c r="H927"/>
    </row>
    <row r="928" spans="6:8">
      <c r="F928"/>
      <c r="H928"/>
    </row>
    <row r="929" spans="6:8">
      <c r="F929"/>
      <c r="H929"/>
    </row>
    <row r="930" spans="6:8">
      <c r="F930"/>
      <c r="H930"/>
    </row>
    <row r="931" spans="6:8">
      <c r="F931"/>
      <c r="H931"/>
    </row>
    <row r="932" spans="6:8">
      <c r="F932"/>
      <c r="H932"/>
    </row>
    <row r="933" spans="6:8">
      <c r="F933"/>
      <c r="H933"/>
    </row>
    <row r="934" spans="6:8">
      <c r="F934"/>
      <c r="H934"/>
    </row>
    <row r="935" spans="6:8">
      <c r="F935"/>
      <c r="H935"/>
    </row>
    <row r="936" spans="6:8">
      <c r="F936"/>
      <c r="H936"/>
    </row>
    <row r="937" spans="6:8">
      <c r="F937"/>
      <c r="H937"/>
    </row>
    <row r="938" spans="6:8">
      <c r="F938"/>
      <c r="H938"/>
    </row>
    <row r="939" spans="6:8">
      <c r="F939"/>
      <c r="H939"/>
    </row>
    <row r="940" spans="6:8">
      <c r="F940"/>
      <c r="H940"/>
    </row>
    <row r="941" spans="6:8">
      <c r="F941"/>
      <c r="H941"/>
    </row>
    <row r="942" spans="6:8">
      <c r="F942"/>
      <c r="H942"/>
    </row>
    <row r="943" spans="6:8">
      <c r="F943"/>
      <c r="H943"/>
    </row>
    <row r="944" spans="6:8">
      <c r="F944"/>
      <c r="H944"/>
    </row>
    <row r="945" spans="6:8">
      <c r="F945"/>
      <c r="H945"/>
    </row>
    <row r="946" spans="6:8">
      <c r="F946"/>
      <c r="H946"/>
    </row>
    <row r="947" spans="6:8">
      <c r="F947"/>
      <c r="H947"/>
    </row>
    <row r="948" spans="6:8">
      <c r="F948"/>
      <c r="H948"/>
    </row>
    <row r="949" spans="6:8">
      <c r="F949"/>
      <c r="H949"/>
    </row>
    <row r="950" spans="6:8">
      <c r="F950"/>
      <c r="H950"/>
    </row>
    <row r="951" spans="6:8">
      <c r="F951"/>
      <c r="H951"/>
    </row>
    <row r="952" spans="6:8">
      <c r="F952"/>
      <c r="H952"/>
    </row>
    <row r="953" spans="6:8">
      <c r="F953"/>
      <c r="H953"/>
    </row>
    <row r="954" spans="6:8">
      <c r="F954"/>
      <c r="H954"/>
    </row>
    <row r="955" spans="6:8">
      <c r="F955"/>
      <c r="H955"/>
    </row>
    <row r="956" spans="6:8">
      <c r="F956"/>
      <c r="H956"/>
    </row>
    <row r="957" spans="6:8">
      <c r="F957"/>
      <c r="H957"/>
    </row>
    <row r="958" spans="6:8">
      <c r="F958"/>
      <c r="H958"/>
    </row>
    <row r="959" spans="6:8">
      <c r="F959"/>
      <c r="H959"/>
    </row>
    <row r="960" spans="6:8">
      <c r="F960"/>
      <c r="H960"/>
    </row>
    <row r="961" spans="6:8">
      <c r="F961"/>
      <c r="H961"/>
    </row>
    <row r="962" spans="6:8">
      <c r="F962"/>
      <c r="H962"/>
    </row>
    <row r="963" spans="6:8">
      <c r="F963"/>
      <c r="H963"/>
    </row>
    <row r="964" spans="6:8">
      <c r="F964"/>
      <c r="H964"/>
    </row>
    <row r="965" spans="6:8">
      <c r="F965"/>
      <c r="H965"/>
    </row>
    <row r="966" spans="6:8">
      <c r="F966"/>
      <c r="H966"/>
    </row>
    <row r="967" spans="6:8">
      <c r="F967"/>
      <c r="H967"/>
    </row>
    <row r="968" spans="6:8">
      <c r="F968"/>
      <c r="H968"/>
    </row>
    <row r="969" spans="6:8">
      <c r="F969"/>
      <c r="H969"/>
    </row>
    <row r="970" spans="6:8">
      <c r="F970"/>
      <c r="H970"/>
    </row>
    <row r="971" spans="6:8">
      <c r="F971"/>
      <c r="H971"/>
    </row>
    <row r="972" spans="6:8">
      <c r="F972"/>
      <c r="H972"/>
    </row>
    <row r="973" spans="6:8">
      <c r="F973"/>
      <c r="H973"/>
    </row>
    <row r="974" spans="6:8">
      <c r="F974"/>
      <c r="H974"/>
    </row>
    <row r="975" spans="6:8">
      <c r="F975"/>
      <c r="H975"/>
    </row>
    <row r="976" spans="6:8">
      <c r="F976"/>
      <c r="H976"/>
    </row>
    <row r="977" spans="6:8">
      <c r="F977"/>
      <c r="H977"/>
    </row>
    <row r="978" spans="6:8">
      <c r="F978"/>
      <c r="H978"/>
    </row>
    <row r="979" spans="6:8">
      <c r="F979"/>
      <c r="H979"/>
    </row>
    <row r="980" spans="6:8">
      <c r="F980"/>
      <c r="H980"/>
    </row>
    <row r="981" spans="6:8">
      <c r="F981"/>
      <c r="H981"/>
    </row>
    <row r="982" spans="6:8">
      <c r="F982"/>
      <c r="H982"/>
    </row>
    <row r="983" spans="6:8">
      <c r="F983"/>
      <c r="H983"/>
    </row>
    <row r="984" spans="6:8">
      <c r="F984"/>
      <c r="H984"/>
    </row>
    <row r="985" spans="6:8">
      <c r="F985"/>
      <c r="H985"/>
    </row>
    <row r="986" spans="6:8">
      <c r="F986"/>
      <c r="H986"/>
    </row>
    <row r="987" spans="6:8">
      <c r="F987"/>
      <c r="H987"/>
    </row>
    <row r="988" spans="6:8">
      <c r="F988"/>
      <c r="H988"/>
    </row>
    <row r="989" spans="6:8">
      <c r="F989"/>
      <c r="H989"/>
    </row>
    <row r="990" spans="6:8">
      <c r="F990"/>
      <c r="H990"/>
    </row>
    <row r="991" spans="6:8">
      <c r="F991"/>
      <c r="H991"/>
    </row>
    <row r="992" spans="6:8">
      <c r="F992"/>
      <c r="H992"/>
    </row>
    <row r="993" spans="6:8">
      <c r="F993"/>
      <c r="H993"/>
    </row>
    <row r="994" spans="6:8">
      <c r="F994"/>
      <c r="H994"/>
    </row>
    <row r="995" spans="6:8">
      <c r="F995"/>
      <c r="H995"/>
    </row>
    <row r="996" spans="6:8">
      <c r="F996"/>
      <c r="H996"/>
    </row>
    <row r="997" spans="6:8">
      <c r="F997"/>
      <c r="H997"/>
    </row>
    <row r="998" spans="6:8">
      <c r="F998"/>
      <c r="H998"/>
    </row>
    <row r="999" spans="6:8">
      <c r="F999"/>
      <c r="H999"/>
    </row>
    <row r="1000" spans="6:8">
      <c r="F1000"/>
      <c r="H1000"/>
    </row>
    <row r="1001" spans="6:8">
      <c r="F1001"/>
      <c r="H1001"/>
    </row>
    <row r="1002" spans="6:8">
      <c r="F1002"/>
      <c r="H1002"/>
    </row>
    <row r="1003" spans="6:8">
      <c r="F1003"/>
      <c r="H1003"/>
    </row>
    <row r="1004" spans="6:8">
      <c r="F1004"/>
      <c r="H1004"/>
    </row>
    <row r="1005" spans="6:8">
      <c r="F1005"/>
      <c r="H1005"/>
    </row>
    <row r="1006" spans="6:8">
      <c r="F1006"/>
      <c r="H1006"/>
    </row>
    <row r="1007" spans="6:8">
      <c r="F1007"/>
      <c r="H1007"/>
    </row>
    <row r="1008" spans="6:8">
      <c r="F1008"/>
      <c r="H1008"/>
    </row>
    <row r="1009" spans="6:8">
      <c r="F1009"/>
      <c r="H1009"/>
    </row>
    <row r="1010" spans="6:8">
      <c r="F1010"/>
      <c r="H1010"/>
    </row>
    <row r="1011" spans="6:8">
      <c r="F1011"/>
      <c r="H1011"/>
    </row>
    <row r="1012" spans="6:8">
      <c r="F1012"/>
      <c r="H1012"/>
    </row>
    <row r="1013" spans="6:8">
      <c r="F1013"/>
      <c r="H1013"/>
    </row>
    <row r="1014" spans="6:8">
      <c r="F1014"/>
      <c r="H1014"/>
    </row>
    <row r="1015" spans="6:8">
      <c r="F1015"/>
      <c r="H1015"/>
    </row>
    <row r="1016" spans="6:8">
      <c r="F1016"/>
      <c r="H1016"/>
    </row>
    <row r="1017" spans="6:8">
      <c r="F1017"/>
      <c r="H1017"/>
    </row>
    <row r="1018" spans="6:8">
      <c r="F1018"/>
      <c r="H1018"/>
    </row>
    <row r="1019" spans="6:8">
      <c r="F1019"/>
      <c r="H1019"/>
    </row>
    <row r="1020" spans="6:8">
      <c r="F1020"/>
      <c r="H1020"/>
    </row>
    <row r="1021" spans="6:8">
      <c r="F1021"/>
      <c r="H1021"/>
    </row>
    <row r="1022" spans="6:8">
      <c r="F1022"/>
      <c r="H1022"/>
    </row>
    <row r="1023" spans="6:8">
      <c r="F1023"/>
      <c r="H1023"/>
    </row>
    <row r="1024" spans="6:8">
      <c r="F1024"/>
      <c r="H1024"/>
    </row>
    <row r="1025" spans="6:8">
      <c r="F1025"/>
      <c r="H1025"/>
    </row>
    <row r="1026" spans="6:8">
      <c r="F1026"/>
      <c r="H1026"/>
    </row>
    <row r="1027" spans="6:8">
      <c r="F1027"/>
      <c r="H1027"/>
    </row>
    <row r="1028" spans="6:8">
      <c r="F1028"/>
      <c r="H1028"/>
    </row>
    <row r="1029" spans="6:8">
      <c r="F1029"/>
      <c r="H1029"/>
    </row>
    <row r="1030" spans="6:8">
      <c r="F1030"/>
      <c r="H1030"/>
    </row>
    <row r="1031" spans="6:8">
      <c r="F1031"/>
      <c r="H1031"/>
    </row>
    <row r="1032" spans="6:8">
      <c r="F1032"/>
      <c r="H1032"/>
    </row>
    <row r="1033" spans="6:8">
      <c r="F1033"/>
      <c r="H1033"/>
    </row>
    <row r="1034" spans="6:8">
      <c r="F1034"/>
      <c r="H1034"/>
    </row>
    <row r="1035" spans="6:8">
      <c r="F1035"/>
      <c r="H1035"/>
    </row>
    <row r="1036" spans="6:8">
      <c r="F1036"/>
      <c r="H1036"/>
    </row>
    <row r="1037" spans="6:8">
      <c r="F1037"/>
      <c r="H1037"/>
    </row>
    <row r="1038" spans="6:8">
      <c r="F1038"/>
      <c r="H1038"/>
    </row>
    <row r="1039" spans="6:8">
      <c r="F1039"/>
      <c r="H1039"/>
    </row>
    <row r="1040" spans="6:8">
      <c r="F1040"/>
      <c r="H1040"/>
    </row>
    <row r="1041" spans="6:8">
      <c r="F1041"/>
      <c r="H1041"/>
    </row>
    <row r="1042" spans="6:8">
      <c r="F1042"/>
      <c r="H1042"/>
    </row>
    <row r="1043" spans="6:8">
      <c r="F1043"/>
      <c r="H1043"/>
    </row>
    <row r="1044" spans="6:8">
      <c r="F1044"/>
      <c r="H1044"/>
    </row>
    <row r="1045" spans="6:8">
      <c r="F1045"/>
      <c r="H1045"/>
    </row>
    <row r="1046" spans="6:8">
      <c r="F1046"/>
      <c r="H1046"/>
    </row>
    <row r="1047" spans="6:8">
      <c r="F1047"/>
      <c r="H1047"/>
    </row>
    <row r="1048" spans="6:8">
      <c r="F1048"/>
      <c r="H1048"/>
    </row>
    <row r="1049" spans="6:8">
      <c r="F1049"/>
      <c r="H1049"/>
    </row>
    <row r="1050" spans="6:8">
      <c r="F1050"/>
      <c r="H1050"/>
    </row>
    <row r="1051" spans="6:8">
      <c r="F1051"/>
      <c r="H1051"/>
    </row>
    <row r="1052" spans="6:8">
      <c r="F1052"/>
      <c r="H1052"/>
    </row>
    <row r="1053" spans="6:8">
      <c r="F1053"/>
      <c r="H1053"/>
    </row>
    <row r="1054" spans="6:8">
      <c r="F1054"/>
      <c r="H1054"/>
    </row>
    <row r="1055" spans="6:8">
      <c r="F1055"/>
      <c r="H1055"/>
    </row>
    <row r="1056" spans="6:8">
      <c r="F1056"/>
      <c r="H1056"/>
    </row>
    <row r="1057" spans="6:8">
      <c r="F1057"/>
      <c r="H1057"/>
    </row>
    <row r="1058" spans="6:8">
      <c r="F1058"/>
      <c r="H1058"/>
    </row>
    <row r="1059" spans="6:8">
      <c r="F1059"/>
      <c r="H1059"/>
    </row>
    <row r="1060" spans="6:8">
      <c r="F1060"/>
      <c r="H1060"/>
    </row>
    <row r="1061" spans="6:8">
      <c r="F1061"/>
      <c r="H1061"/>
    </row>
    <row r="1062" spans="6:8">
      <c r="F1062"/>
      <c r="H1062"/>
    </row>
    <row r="1063" spans="6:8">
      <c r="F1063"/>
      <c r="H1063"/>
    </row>
    <row r="1064" spans="6:8">
      <c r="F1064"/>
      <c r="H1064"/>
    </row>
    <row r="1065" spans="6:8">
      <c r="F1065"/>
      <c r="H1065"/>
    </row>
    <row r="1066" spans="6:8">
      <c r="F1066"/>
      <c r="H1066"/>
    </row>
    <row r="1067" spans="6:8">
      <c r="F1067"/>
      <c r="H1067"/>
    </row>
    <row r="1068" spans="6:8">
      <c r="F1068"/>
      <c r="H1068"/>
    </row>
    <row r="1069" spans="6:8">
      <c r="F1069"/>
      <c r="H1069"/>
    </row>
    <row r="1070" spans="6:8">
      <c r="F1070"/>
      <c r="H1070"/>
    </row>
    <row r="1071" spans="6:8">
      <c r="F1071"/>
      <c r="H1071"/>
    </row>
    <row r="1072" spans="6:8">
      <c r="F1072"/>
      <c r="H1072"/>
    </row>
    <row r="1073" spans="6:8">
      <c r="F1073"/>
      <c r="H1073"/>
    </row>
    <row r="1074" spans="6:8">
      <c r="F1074"/>
      <c r="H1074"/>
    </row>
    <row r="1075" spans="6:8">
      <c r="F1075"/>
      <c r="H1075"/>
    </row>
    <row r="1076" spans="6:8">
      <c r="F1076"/>
      <c r="H1076"/>
    </row>
    <row r="1077" spans="6:8">
      <c r="F1077"/>
      <c r="H1077"/>
    </row>
    <row r="1078" spans="6:8">
      <c r="F1078"/>
      <c r="H1078"/>
    </row>
    <row r="1079" spans="6:8">
      <c r="F1079"/>
      <c r="H1079"/>
    </row>
    <row r="1080" spans="6:8">
      <c r="F1080"/>
      <c r="H1080"/>
    </row>
    <row r="1081" spans="6:8">
      <c r="F1081"/>
      <c r="H1081"/>
    </row>
    <row r="1082" spans="6:8">
      <c r="F1082"/>
      <c r="H1082"/>
    </row>
    <row r="1083" spans="6:8">
      <c r="F1083"/>
      <c r="H1083"/>
    </row>
    <row r="1084" spans="6:8">
      <c r="F1084"/>
      <c r="H1084"/>
    </row>
    <row r="1085" spans="6:8">
      <c r="F1085"/>
      <c r="H1085"/>
    </row>
    <row r="1086" spans="6:8">
      <c r="F1086"/>
      <c r="H1086"/>
    </row>
    <row r="1087" spans="6:8">
      <c r="F1087"/>
      <c r="H1087"/>
    </row>
    <row r="1088" spans="6:8">
      <c r="F1088"/>
      <c r="H1088"/>
    </row>
    <row r="1089" spans="6:8">
      <c r="F1089"/>
      <c r="H1089"/>
    </row>
    <row r="1090" spans="6:8">
      <c r="F1090"/>
      <c r="H1090"/>
    </row>
    <row r="1091" spans="6:8">
      <c r="F1091"/>
      <c r="H1091"/>
    </row>
    <row r="1092" spans="6:8">
      <c r="F1092"/>
      <c r="H1092"/>
    </row>
    <row r="1093" spans="6:8">
      <c r="F1093"/>
      <c r="H1093"/>
    </row>
    <row r="1094" spans="6:8">
      <c r="F1094"/>
      <c r="H1094"/>
    </row>
    <row r="1095" spans="6:8">
      <c r="F1095"/>
      <c r="H1095"/>
    </row>
    <row r="1096" spans="6:8">
      <c r="F1096"/>
      <c r="H1096"/>
    </row>
  </sheetData>
  <autoFilter ref="A1:AF918"/>
  <phoneticPr fontId="1" type="noConversion"/>
  <conditionalFormatting sqref="J1097:J1048576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2026-01-08T14:04:17Z</dcterms:created>
  <dcterms:modified xsi:type="dcterms:W3CDTF">2026-08-06T07:09:43Z</dcterms:modified>
</cp:coreProperties>
</file>